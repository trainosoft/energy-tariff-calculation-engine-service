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rutusoft\energy-tariff-calculation-engine-service\rules\terrifs\satnam\"/>
    </mc:Choice>
  </mc:AlternateContent>
  <xr:revisionPtr revIDLastSave="0" documentId="8_{BE60741E-30EE-487E-84B9-E325756839F7}" xr6:coauthVersionLast="47" xr6:coauthVersionMax="47" xr10:uidLastSave="{00000000-0000-0000-0000-000000000000}"/>
  <bookViews>
    <workbookView xWindow="-108" yWindow="-108" windowWidth="23256" windowHeight="12456" xr2:uid="{61ED4AD5-86C1-4250-9105-E802E25E85D3}"/>
  </bookViews>
  <sheets>
    <sheet name="2.3 NonProfit Public(L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2" i="1" l="1"/>
  <c r="I90" i="1"/>
  <c r="I88" i="1"/>
  <c r="I86" i="1"/>
  <c r="I84" i="1"/>
  <c r="N82" i="1"/>
  <c r="E77" i="1"/>
  <c r="D46" i="1"/>
  <c r="C46" i="1"/>
  <c r="C83" i="1" s="1"/>
  <c r="C84" i="1" s="1"/>
  <c r="C85" i="1" s="1"/>
  <c r="C86" i="1" s="1"/>
  <c r="C87" i="1" s="1"/>
  <c r="C88" i="1" s="1"/>
  <c r="C89" i="1" s="1"/>
  <c r="C90" i="1" s="1"/>
  <c r="C91" i="1" s="1"/>
  <c r="C92" i="1" s="1"/>
  <c r="M92" i="1" s="1"/>
  <c r="E38" i="1"/>
  <c r="F34" i="1"/>
  <c r="F33" i="1"/>
  <c r="F29" i="1"/>
  <c r="F28" i="1"/>
  <c r="D19" i="1"/>
  <c r="D20" i="1" s="1"/>
  <c r="D18" i="1"/>
  <c r="E83" i="1" l="1"/>
  <c r="D21" i="1"/>
  <c r="M84" i="1"/>
  <c r="M86" i="1"/>
  <c r="M88" i="1"/>
  <c r="M90" i="1"/>
  <c r="N84" i="1"/>
  <c r="N86" i="1"/>
  <c r="N88" i="1"/>
  <c r="N90" i="1"/>
  <c r="I83" i="1"/>
  <c r="I85" i="1"/>
  <c r="I87" i="1"/>
  <c r="I89" i="1"/>
  <c r="I91" i="1"/>
  <c r="C93" i="1"/>
  <c r="N92" i="1"/>
  <c r="C47" i="1"/>
  <c r="M83" i="1"/>
  <c r="M85" i="1"/>
  <c r="M87" i="1"/>
  <c r="M89" i="1"/>
  <c r="M91" i="1"/>
  <c r="N83" i="1"/>
  <c r="N85" i="1"/>
  <c r="N87" i="1"/>
  <c r="N89" i="1"/>
  <c r="N91" i="1"/>
  <c r="E33" i="1" l="1"/>
  <c r="D34" i="1" s="1"/>
  <c r="E39" i="1"/>
  <c r="E40" i="1" s="1"/>
  <c r="C94" i="1"/>
  <c r="N93" i="1"/>
  <c r="M93" i="1"/>
  <c r="I93" i="1"/>
  <c r="C48" i="1"/>
  <c r="D47" i="1"/>
  <c r="E84" i="1"/>
  <c r="F83" i="1"/>
  <c r="D84" i="1"/>
  <c r="C49" i="1" l="1"/>
  <c r="D48" i="1"/>
  <c r="E85" i="1" s="1"/>
  <c r="N94" i="1"/>
  <c r="C95" i="1"/>
  <c r="I94" i="1"/>
  <c r="M94" i="1"/>
  <c r="G83" i="1"/>
  <c r="H83" i="1" s="1"/>
  <c r="J83" i="1" s="1"/>
  <c r="D85" i="1"/>
  <c r="G84" i="1"/>
  <c r="H84" i="1" s="1"/>
  <c r="J84" i="1" s="1"/>
  <c r="F84" i="1"/>
  <c r="G85" i="1" l="1"/>
  <c r="H85" i="1" s="1"/>
  <c r="J85" i="1" s="1"/>
  <c r="D86" i="1"/>
  <c r="F85" i="1"/>
  <c r="K83" i="1"/>
  <c r="L83" i="1" s="1"/>
  <c r="C96" i="1"/>
  <c r="N95" i="1"/>
  <c r="M95" i="1"/>
  <c r="I95" i="1"/>
  <c r="C50" i="1"/>
  <c r="D49" i="1"/>
  <c r="E86" i="1" s="1"/>
  <c r="K84" i="1"/>
  <c r="L84" i="1" s="1"/>
  <c r="G86" i="1" l="1"/>
  <c r="E87" i="1"/>
  <c r="F86" i="1"/>
  <c r="D87" i="1"/>
  <c r="K85" i="1"/>
  <c r="L85" i="1" s="1"/>
  <c r="D50" i="1"/>
  <c r="C51" i="1"/>
  <c r="C97" i="1"/>
  <c r="I96" i="1"/>
  <c r="M96" i="1"/>
  <c r="H86" i="1" l="1"/>
  <c r="J86" i="1" s="1"/>
  <c r="D88" i="1"/>
  <c r="G87" i="1"/>
  <c r="H87" i="1" s="1"/>
  <c r="J87" i="1" s="1"/>
  <c r="F87" i="1"/>
  <c r="C98" i="1"/>
  <c r="M97" i="1"/>
  <c r="I97" i="1"/>
  <c r="C52" i="1"/>
  <c r="D51" i="1"/>
  <c r="E88" i="1" s="1"/>
  <c r="G88" i="1" l="1"/>
  <c r="D89" i="1"/>
  <c r="F88" i="1"/>
  <c r="K87" i="1"/>
  <c r="L87" i="1" s="1"/>
  <c r="C99" i="1"/>
  <c r="M98" i="1"/>
  <c r="I98" i="1"/>
  <c r="K86" i="1"/>
  <c r="L86" i="1" s="1"/>
  <c r="D52" i="1"/>
  <c r="E89" i="1" s="1"/>
  <c r="C53" i="1"/>
  <c r="G89" i="1" l="1"/>
  <c r="H89" i="1" s="1"/>
  <c r="J89" i="1" s="1"/>
  <c r="F89" i="1"/>
  <c r="D90" i="1"/>
  <c r="C100" i="1"/>
  <c r="M99" i="1"/>
  <c r="I99" i="1"/>
  <c r="C54" i="1"/>
  <c r="D53" i="1"/>
  <c r="E90" i="1" s="1"/>
  <c r="H88" i="1"/>
  <c r="J88" i="1" s="1"/>
  <c r="D91" i="1" l="1"/>
  <c r="G90" i="1"/>
  <c r="F90" i="1"/>
  <c r="K88" i="1"/>
  <c r="L88" i="1" s="1"/>
  <c r="C101" i="1"/>
  <c r="M100" i="1"/>
  <c r="I100" i="1"/>
  <c r="C55" i="1"/>
  <c r="D54" i="1"/>
  <c r="E91" i="1" s="1"/>
  <c r="K89" i="1"/>
  <c r="L89" i="1" s="1"/>
  <c r="G91" i="1" l="1"/>
  <c r="D92" i="1"/>
  <c r="F91" i="1"/>
  <c r="C102" i="1"/>
  <c r="I101" i="1"/>
  <c r="M101" i="1"/>
  <c r="C56" i="1"/>
  <c r="D55" i="1"/>
  <c r="E92" i="1" s="1"/>
  <c r="H90" i="1"/>
  <c r="J90" i="1" s="1"/>
  <c r="G92" i="1" l="1"/>
  <c r="F92" i="1"/>
  <c r="D93" i="1"/>
  <c r="K90" i="1"/>
  <c r="L90" i="1" s="1"/>
  <c r="D56" i="1"/>
  <c r="E93" i="1" s="1"/>
  <c r="C57" i="1"/>
  <c r="C103" i="1"/>
  <c r="M102" i="1"/>
  <c r="I102" i="1"/>
  <c r="H91" i="1"/>
  <c r="J91" i="1" s="1"/>
  <c r="D94" i="1" l="1"/>
  <c r="G93" i="1"/>
  <c r="F93" i="1"/>
  <c r="H92" i="1"/>
  <c r="J92" i="1" s="1"/>
  <c r="C104" i="1"/>
  <c r="I103" i="1"/>
  <c r="M103" i="1"/>
  <c r="C58" i="1"/>
  <c r="D57" i="1"/>
  <c r="E94" i="1" s="1"/>
  <c r="L91" i="1"/>
  <c r="K91" i="1"/>
  <c r="G94" i="1" l="1"/>
  <c r="D95" i="1"/>
  <c r="F94" i="1"/>
  <c r="C105" i="1"/>
  <c r="M104" i="1"/>
  <c r="I104" i="1"/>
  <c r="C59" i="1"/>
  <c r="D58" i="1"/>
  <c r="E95" i="1" s="1"/>
  <c r="H93" i="1"/>
  <c r="J93" i="1" s="1"/>
  <c r="L92" i="1"/>
  <c r="K92" i="1"/>
  <c r="G95" i="1" l="1"/>
  <c r="F95" i="1"/>
  <c r="D96" i="1"/>
  <c r="C60" i="1"/>
  <c r="D59" i="1"/>
  <c r="E96" i="1" s="1"/>
  <c r="K93" i="1"/>
  <c r="L93" i="1" s="1"/>
  <c r="C106" i="1"/>
  <c r="M105" i="1"/>
  <c r="I105" i="1"/>
  <c r="H94" i="1"/>
  <c r="J94" i="1" s="1"/>
  <c r="D97" i="1" l="1"/>
  <c r="G96" i="1"/>
  <c r="H96" i="1" s="1"/>
  <c r="J96" i="1" s="1"/>
  <c r="F96" i="1"/>
  <c r="C107" i="1"/>
  <c r="I106" i="1"/>
  <c r="M106" i="1"/>
  <c r="C61" i="1"/>
  <c r="D60" i="1"/>
  <c r="E97" i="1" s="1"/>
  <c r="K94" i="1"/>
  <c r="L94" i="1" s="1"/>
  <c r="H95" i="1"/>
  <c r="J95" i="1" s="1"/>
  <c r="G97" i="1" l="1"/>
  <c r="D98" i="1"/>
  <c r="F97" i="1"/>
  <c r="C62" i="1"/>
  <c r="D61" i="1"/>
  <c r="E98" i="1" s="1"/>
  <c r="C108" i="1"/>
  <c r="M107" i="1"/>
  <c r="I107" i="1"/>
  <c r="K96" i="1"/>
  <c r="L96" i="1" s="1"/>
  <c r="N96" i="1" s="1"/>
  <c r="K95" i="1"/>
  <c r="L95" i="1" s="1"/>
  <c r="G98" i="1" l="1"/>
  <c r="H98" i="1" s="1"/>
  <c r="J98" i="1" s="1"/>
  <c r="F98" i="1"/>
  <c r="D99" i="1"/>
  <c r="D62" i="1"/>
  <c r="E99" i="1" s="1"/>
  <c r="C63" i="1"/>
  <c r="C109" i="1"/>
  <c r="I108" i="1"/>
  <c r="M108" i="1"/>
  <c r="H97" i="1"/>
  <c r="J97" i="1" s="1"/>
  <c r="D100" i="1" l="1"/>
  <c r="G99" i="1"/>
  <c r="F99" i="1"/>
  <c r="C110" i="1"/>
  <c r="M109" i="1"/>
  <c r="I109" i="1"/>
  <c r="C64" i="1"/>
  <c r="D63" i="1"/>
  <c r="E100" i="1" s="1"/>
  <c r="K97" i="1"/>
  <c r="L97" i="1" s="1"/>
  <c r="N97" i="1" s="1"/>
  <c r="K98" i="1"/>
  <c r="L98" i="1" s="1"/>
  <c r="N98" i="1" l="1"/>
  <c r="G100" i="1"/>
  <c r="F100" i="1"/>
  <c r="D101" i="1"/>
  <c r="C65" i="1"/>
  <c r="D64" i="1"/>
  <c r="E101" i="1" s="1"/>
  <c r="H99" i="1"/>
  <c r="J99" i="1" s="1"/>
  <c r="C111" i="1"/>
  <c r="M110" i="1"/>
  <c r="I110" i="1"/>
  <c r="G101" i="1" l="1"/>
  <c r="D102" i="1"/>
  <c r="F101" i="1"/>
  <c r="C112" i="1"/>
  <c r="I111" i="1"/>
  <c r="M111" i="1"/>
  <c r="K99" i="1"/>
  <c r="L99" i="1" s="1"/>
  <c r="N99" i="1" s="1"/>
  <c r="C66" i="1"/>
  <c r="D65" i="1"/>
  <c r="E102" i="1" s="1"/>
  <c r="H100" i="1"/>
  <c r="J100" i="1" s="1"/>
  <c r="D103" i="1" l="1"/>
  <c r="G102" i="1"/>
  <c r="H102" i="1" s="1"/>
  <c r="J102" i="1" s="1"/>
  <c r="F102" i="1"/>
  <c r="C113" i="1"/>
  <c r="M112" i="1"/>
  <c r="I112" i="1"/>
  <c r="C67" i="1"/>
  <c r="D66" i="1"/>
  <c r="E103" i="1" s="1"/>
  <c r="L100" i="1"/>
  <c r="N100" i="1" s="1"/>
  <c r="K100" i="1"/>
  <c r="H101" i="1"/>
  <c r="J101" i="1" s="1"/>
  <c r="G103" i="1" l="1"/>
  <c r="H103" i="1" s="1"/>
  <c r="J103" i="1" s="1"/>
  <c r="F103" i="1"/>
  <c r="D104" i="1"/>
  <c r="K102" i="1"/>
  <c r="L102" i="1" s="1"/>
  <c r="C68" i="1"/>
  <c r="D67" i="1"/>
  <c r="E104" i="1" s="1"/>
  <c r="I113" i="1"/>
  <c r="M113" i="1"/>
  <c r="K101" i="1"/>
  <c r="L101" i="1"/>
  <c r="N101" i="1" s="1"/>
  <c r="N102" i="1" s="1"/>
  <c r="G104" i="1" l="1"/>
  <c r="H104" i="1" s="1"/>
  <c r="J104" i="1" s="1"/>
  <c r="D105" i="1"/>
  <c r="F104" i="1"/>
  <c r="D68" i="1"/>
  <c r="E105" i="1" s="1"/>
  <c r="C69" i="1"/>
  <c r="K103" i="1"/>
  <c r="L103" i="1" s="1"/>
  <c r="N103" i="1" s="1"/>
  <c r="D106" i="1" l="1"/>
  <c r="G105" i="1"/>
  <c r="H105" i="1" s="1"/>
  <c r="J105" i="1" s="1"/>
  <c r="F105" i="1"/>
  <c r="C70" i="1"/>
  <c r="D69" i="1"/>
  <c r="E106" i="1" s="1"/>
  <c r="K104" i="1"/>
  <c r="L104" i="1" s="1"/>
  <c r="N104" i="1" s="1"/>
  <c r="G106" i="1" l="1"/>
  <c r="H106" i="1" s="1"/>
  <c r="J106" i="1" s="1"/>
  <c r="F106" i="1"/>
  <c r="D107" i="1"/>
  <c r="C71" i="1"/>
  <c r="D70" i="1"/>
  <c r="E107" i="1" s="1"/>
  <c r="K105" i="1"/>
  <c r="L105" i="1" s="1"/>
  <c r="N105" i="1" s="1"/>
  <c r="G107" i="1" l="1"/>
  <c r="H107" i="1" s="1"/>
  <c r="J107" i="1" s="1"/>
  <c r="D108" i="1"/>
  <c r="F107" i="1"/>
  <c r="C72" i="1"/>
  <c r="D71" i="1"/>
  <c r="E108" i="1" s="1"/>
  <c r="K106" i="1"/>
  <c r="L106" i="1" s="1"/>
  <c r="N106" i="1" s="1"/>
  <c r="D109" i="1" l="1"/>
  <c r="G108" i="1"/>
  <c r="H108" i="1" s="1"/>
  <c r="J108" i="1" s="1"/>
  <c r="F108" i="1"/>
  <c r="K107" i="1"/>
  <c r="L107" i="1" s="1"/>
  <c r="N107" i="1" s="1"/>
  <c r="D72" i="1"/>
  <c r="E109" i="1" s="1"/>
  <c r="C73" i="1"/>
  <c r="D110" i="1" l="1"/>
  <c r="G109" i="1"/>
  <c r="H109" i="1" s="1"/>
  <c r="J109" i="1" s="1"/>
  <c r="F109" i="1"/>
  <c r="K108" i="1"/>
  <c r="L108" i="1"/>
  <c r="N108" i="1" s="1"/>
  <c r="C74" i="1"/>
  <c r="D73" i="1"/>
  <c r="E110" i="1" s="1"/>
  <c r="G110" i="1" l="1"/>
  <c r="D111" i="1"/>
  <c r="F110" i="1"/>
  <c r="D74" i="1"/>
  <c r="E111" i="1" s="1"/>
  <c r="C75" i="1"/>
  <c r="K109" i="1"/>
  <c r="L109" i="1" s="1"/>
  <c r="N109" i="1" s="1"/>
  <c r="D112" i="1" l="1"/>
  <c r="G111" i="1"/>
  <c r="H111" i="1" s="1"/>
  <c r="J111" i="1" s="1"/>
  <c r="F111" i="1"/>
  <c r="D75" i="1"/>
  <c r="E112" i="1" s="1"/>
  <c r="C76" i="1"/>
  <c r="D76" i="1" s="1"/>
  <c r="D77" i="1" s="1"/>
  <c r="H110" i="1"/>
  <c r="J110" i="1" s="1"/>
  <c r="G112" i="1" l="1"/>
  <c r="H112" i="1" s="1"/>
  <c r="J112" i="1" s="1"/>
  <c r="F112" i="1"/>
  <c r="E113" i="1"/>
  <c r="D113" i="1"/>
  <c r="K110" i="1"/>
  <c r="L110" i="1" s="1"/>
  <c r="N110" i="1" s="1"/>
  <c r="K111" i="1"/>
  <c r="L111" i="1" s="1"/>
  <c r="N111" i="1" l="1"/>
  <c r="G113" i="1"/>
  <c r="H113" i="1" s="1"/>
  <c r="J113" i="1" s="1"/>
  <c r="F113" i="1"/>
  <c r="K112" i="1"/>
  <c r="L112" i="1" s="1"/>
  <c r="K113" i="1" l="1"/>
  <c r="L113" i="1" s="1"/>
  <c r="N112" i="1"/>
  <c r="N113" i="1" l="1"/>
</calcChain>
</file>

<file path=xl/sharedStrings.xml><?xml version="1.0" encoding="utf-8"?>
<sst xmlns="http://schemas.openxmlformats.org/spreadsheetml/2006/main" count="106" uniqueCount="97">
  <si>
    <t>LT Category-3: Non-Profit Public Service</t>
  </si>
  <si>
    <t xml:space="preserve">Applicability: </t>
  </si>
  <si>
    <t>Applicable to non-profit, non-commercial public institutions using electricity for public interest purposes, where no rent or fees are charged. Includes government offices, hospitals, schools, libraries, research institutes, public halls (not for hire), religious premises, NGOs, charitable institutions, and orphanages.</t>
  </si>
  <si>
    <t>LT Category-3: Non-Profit Public Service Tariff Structure</t>
  </si>
  <si>
    <t>Energy Charges</t>
  </si>
  <si>
    <t xml:space="preserve"> First 150 kWh</t>
  </si>
  <si>
    <t>per kwh</t>
  </si>
  <si>
    <t xml:space="preserve"> All units above 150 kWh </t>
  </si>
  <si>
    <t>Fixed Charges</t>
  </si>
  <si>
    <t>per month per kW of contracted load</t>
  </si>
  <si>
    <t>Steps to Calculate Daily Charges for One Month</t>
  </si>
  <si>
    <t>STEP 1:</t>
  </si>
  <si>
    <t>Consumer Category:  Non-Profit Public Service (LT)</t>
  </si>
  <si>
    <t>Load: Non-Profit Public Service</t>
  </si>
  <si>
    <t xml:space="preserve">150 – 300 </t>
  </si>
  <si>
    <t>Kwh</t>
  </si>
  <si>
    <t>Contracted Load</t>
  </si>
  <si>
    <t>kW</t>
  </si>
  <si>
    <t>Usage Profile</t>
  </si>
  <si>
    <t>Monthly kWh</t>
  </si>
  <si>
    <t>Remarks</t>
  </si>
  <si>
    <t>Installation Date</t>
  </si>
  <si>
    <t>Date</t>
  </si>
  <si>
    <t>Low usage</t>
  </si>
  <si>
    <t>80 – 150 kWh</t>
  </si>
  <si>
    <t>Small office, limited hours</t>
  </si>
  <si>
    <t>Current Month days</t>
  </si>
  <si>
    <t>Days</t>
  </si>
  <si>
    <t>Moderate usage</t>
  </si>
  <si>
    <t>150 – 300 kWh</t>
  </si>
  <si>
    <t>School / clinic with fans, lights</t>
  </si>
  <si>
    <t>Last Date of Month</t>
  </si>
  <si>
    <t>Higher usage</t>
  </si>
  <si>
    <t>300 – 600 kWh</t>
  </si>
  <si>
    <t>ACs, pumps, longer operating hours</t>
  </si>
  <si>
    <t>Bill Days</t>
  </si>
  <si>
    <t>Including Installation Day</t>
  </si>
  <si>
    <t>Heavy (still LT)</t>
  </si>
  <si>
    <t>600 – 1,000 kWh</t>
  </si>
  <si>
    <t>Large premises, multiple ACs</t>
  </si>
  <si>
    <t>Bill factor</t>
  </si>
  <si>
    <t>Opening Balance</t>
  </si>
  <si>
    <t>Type of Establishment</t>
  </si>
  <si>
    <t>Typical Range (kW)</t>
  </si>
  <si>
    <t>Modelling Sweet Spot</t>
  </si>
  <si>
    <t>Small office / NGO / library</t>
  </si>
  <si>
    <t>1 – 3 kW</t>
  </si>
  <si>
    <t>2 kW</t>
  </si>
  <si>
    <t>STEP2:</t>
  </si>
  <si>
    <t>Adjust Slab Sizes</t>
  </si>
  <si>
    <t>Primary school / clinic / dispensary</t>
  </si>
  <si>
    <t>3 – 5 kW</t>
  </si>
  <si>
    <t>4 kW</t>
  </si>
  <si>
    <t>The original slab sizes for Non-Profit Public Service (LT) are:</t>
  </si>
  <si>
    <t>Medium school / health centre / hostel</t>
  </si>
  <si>
    <t>5 – 10 kW</t>
  </si>
  <si>
    <t>7.5 kW</t>
  </si>
  <si>
    <t>Slab Number</t>
  </si>
  <si>
    <t>Unit From</t>
  </si>
  <si>
    <t>Unit To</t>
  </si>
  <si>
    <t>Charges per Unit</t>
  </si>
  <si>
    <t>Large school / hospital wing / guest house</t>
  </si>
  <si>
    <t>10 – 20 kW</t>
  </si>
  <si>
    <t>15 kW</t>
  </si>
  <si>
    <t>Community hall / religious premises</t>
  </si>
  <si>
    <t>5 – 15 kW</t>
  </si>
  <si>
    <t>10 kW</t>
  </si>
  <si>
    <t>Max</t>
  </si>
  <si>
    <t>Adjusted Slab Sizes using the Bill Factor</t>
  </si>
  <si>
    <t>STEP3:</t>
  </si>
  <si>
    <t>Calculate Fixed Charges</t>
  </si>
  <si>
    <t>Existing Fixed Charges</t>
  </si>
  <si>
    <t>Adjusted Fixed Charges for month</t>
  </si>
  <si>
    <t>// Existing Fixed Charges * Bill Factor//</t>
  </si>
  <si>
    <t>Daily Fixed Charges</t>
  </si>
  <si>
    <t>// Adjustment Fixed Charges /Bill Days//</t>
  </si>
  <si>
    <t>STEP4:</t>
  </si>
  <si>
    <t xml:space="preserve">Sample Daily Consumption Data </t>
  </si>
  <si>
    <t>Daily Consumption (kWh)</t>
  </si>
  <si>
    <t>Sample Data from HES</t>
  </si>
  <si>
    <t>Example Calculation</t>
  </si>
  <si>
    <t>Previous Reading</t>
  </si>
  <si>
    <t>Current Reading (Kwh)</t>
  </si>
  <si>
    <t>Unit Consumed(kwh)</t>
  </si>
  <si>
    <t>Slab</t>
  </si>
  <si>
    <t>Electricity Charges</t>
  </si>
  <si>
    <t>Gross Bill</t>
  </si>
  <si>
    <t xml:space="preserve">Surcharge
</t>
  </si>
  <si>
    <t>Gross Deduction</t>
  </si>
  <si>
    <t xml:space="preserve">Recharge </t>
  </si>
  <si>
    <t>Closing Balance</t>
  </si>
  <si>
    <t>=if (Unit Consumed&lt;=Adjusted SlabSize value using Bill Factor , "1" ,"2")</t>
  </si>
  <si>
    <t>if(Slab="1",Unit Consumerd*Slab 1 Charges , if (Slab="2", Unit Consumed*Slab2 Charges,0))</t>
  </si>
  <si>
    <t>Fixed Charges Based on Billfactor and Start Date</t>
  </si>
  <si>
    <t>=Fixed Charges +Electricity Charges</t>
  </si>
  <si>
    <t>=Gross Bill*Surcharge %</t>
  </si>
  <si>
    <t>=Gross Bill + Surcharge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</si>
</sst>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4009]\ #,##0.00;[$₹-4009]\ \-#,##0.00"/>
    <numFmt numFmtId="165" formatCode="0.0000"/>
    <numFmt numFmtId="166" formatCode="[$₹-4009]\ #,##0;[$₹-4009]\ \-#,##0"/>
    <numFmt numFmtId="167" formatCode="_ * #,##0.0000_ ;_ * \-#,##0.0000_ ;_ * &quot;-&quot;??_ ;_ @_ "/>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theme="2" tint="-9.9978637043366805E-2"/>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0"/>
        <bgColor indexed="64"/>
      </patternFill>
    </fill>
    <fill>
      <patternFill patternType="solid">
        <fgColor theme="9" tint="0.79998168889431442"/>
        <bgColor indexed="64"/>
      </patternFill>
    </fill>
  </fills>
  <borders count="1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60">
    <xf numFmtId="0" fontId="0" fillId="0" borderId="0" xfId="0"/>
    <xf numFmtId="0" fontId="2" fillId="2" borderId="0" xfId="0" applyFont="1" applyFill="1"/>
    <xf numFmtId="0" fontId="2" fillId="0" borderId="0" xfId="0" applyFont="1" applyAlignment="1">
      <alignment horizontal="right" vertical="center"/>
    </xf>
    <xf numFmtId="0" fontId="2" fillId="3" borderId="1" xfId="0" applyFont="1" applyFill="1" applyBorder="1"/>
    <xf numFmtId="0" fontId="0" fillId="3" borderId="2" xfId="0" applyFill="1" applyBorder="1"/>
    <xf numFmtId="0" fontId="0" fillId="3" borderId="3" xfId="0" applyFill="1" applyBorder="1"/>
    <xf numFmtId="0" fontId="0" fillId="3" borderId="4" xfId="0" applyFill="1" applyBorder="1"/>
    <xf numFmtId="0" fontId="2" fillId="3" borderId="0" xfId="0" applyFont="1" applyFill="1"/>
    <xf numFmtId="164" fontId="2" fillId="3" borderId="0" xfId="0" applyNumberFormat="1" applyFont="1" applyFill="1"/>
    <xf numFmtId="0" fontId="0" fillId="3" borderId="0" xfId="0" applyFill="1"/>
    <xf numFmtId="0" fontId="0" fillId="3" borderId="5" xfId="0" applyFill="1" applyBorder="1"/>
    <xf numFmtId="164" fontId="0" fillId="3" borderId="0" xfId="0" applyNumberFormat="1" applyFill="1"/>
    <xf numFmtId="0" fontId="2" fillId="3" borderId="4" xfId="0" applyFont="1" applyFill="1" applyBorder="1"/>
    <xf numFmtId="0" fontId="2" fillId="3" borderId="6" xfId="0" applyFont="1" applyFill="1" applyBorder="1"/>
    <xf numFmtId="0" fontId="0" fillId="3" borderId="7" xfId="0" applyFill="1" applyBorder="1"/>
    <xf numFmtId="0" fontId="0" fillId="3" borderId="8" xfId="0" applyFill="1" applyBorder="1"/>
    <xf numFmtId="0" fontId="0" fillId="2" borderId="0" xfId="0" applyFill="1"/>
    <xf numFmtId="0" fontId="2" fillId="0" borderId="0" xfId="0" applyFont="1"/>
    <xf numFmtId="0" fontId="0" fillId="0" borderId="0" xfId="0" applyAlignment="1">
      <alignment horizontal="right"/>
    </xf>
    <xf numFmtId="0" fontId="2" fillId="4" borderId="0" xfId="0" applyFont="1" applyFill="1" applyAlignment="1">
      <alignment horizontal="right"/>
    </xf>
    <xf numFmtId="0" fontId="2" fillId="0" borderId="9" xfId="0" applyFont="1" applyBorder="1" applyAlignment="1">
      <alignment horizontal="center" vertical="center" wrapText="1"/>
    </xf>
    <xf numFmtId="14" fontId="2" fillId="4" borderId="0" xfId="0" applyNumberFormat="1" applyFont="1" applyFill="1"/>
    <xf numFmtId="0" fontId="0" fillId="0" borderId="9" xfId="0" applyBorder="1" applyAlignment="1">
      <alignment vertical="center" wrapText="1"/>
    </xf>
    <xf numFmtId="0" fontId="0" fillId="0" borderId="9" xfId="0" applyBorder="1" applyAlignment="1">
      <alignment horizontal="center" vertical="center" wrapText="1"/>
    </xf>
    <xf numFmtId="14" fontId="0" fillId="0" borderId="0" xfId="0" applyNumberFormat="1" applyAlignment="1">
      <alignment horizontal="right"/>
    </xf>
    <xf numFmtId="165" fontId="0" fillId="0" borderId="0" xfId="0" applyNumberFormat="1"/>
    <xf numFmtId="0" fontId="0" fillId="0" borderId="0" xfId="0" applyAlignment="1">
      <alignment horizontal="center"/>
    </xf>
    <xf numFmtId="166" fontId="2" fillId="4" borderId="0" xfId="0" applyNumberFormat="1" applyFont="1" applyFill="1"/>
    <xf numFmtId="0" fontId="0" fillId="0" borderId="10" xfId="0" applyBorder="1"/>
    <xf numFmtId="0" fontId="0" fillId="0" borderId="10" xfId="0" applyBorder="1" applyAlignment="1">
      <alignment horizontal="center"/>
    </xf>
    <xf numFmtId="164" fontId="0" fillId="0" borderId="10" xfId="0" applyNumberFormat="1" applyBorder="1"/>
    <xf numFmtId="164" fontId="0" fillId="0" borderId="0" xfId="0" applyNumberFormat="1"/>
    <xf numFmtId="0" fontId="2" fillId="2" borderId="9" xfId="0" applyFont="1" applyFill="1" applyBorder="1" applyAlignment="1">
      <alignment horizontal="center"/>
    </xf>
    <xf numFmtId="0" fontId="2" fillId="2" borderId="9" xfId="0" applyFont="1" applyFill="1" applyBorder="1" applyAlignment="1">
      <alignment horizontal="center" wrapText="1"/>
    </xf>
    <xf numFmtId="0" fontId="2" fillId="0" borderId="0" xfId="0" applyFont="1" applyAlignment="1">
      <alignment horizontal="center" vertical="center" wrapText="1"/>
    </xf>
    <xf numFmtId="0" fontId="2" fillId="0" borderId="0" xfId="0" applyFont="1" applyAlignment="1">
      <alignment horizontal="right" vertical="center" wrapText="1"/>
    </xf>
    <xf numFmtId="14" fontId="0" fillId="5" borderId="9" xfId="0" applyNumberFormat="1" applyFill="1" applyBorder="1" applyAlignment="1">
      <alignment horizontal="center"/>
    </xf>
    <xf numFmtId="2" fontId="0" fillId="5" borderId="9" xfId="0" applyNumberFormat="1" applyFill="1" applyBorder="1" applyAlignment="1">
      <alignment horizontal="center"/>
    </xf>
    <xf numFmtId="17" fontId="0" fillId="0" borderId="0" xfId="0" applyNumberFormat="1" applyAlignment="1">
      <alignment vertical="center" wrapText="1"/>
    </xf>
    <xf numFmtId="0" fontId="0" fillId="0" borderId="0" xfId="0" applyAlignment="1">
      <alignment horizontal="right" vertical="center" wrapText="1"/>
    </xf>
    <xf numFmtId="14" fontId="0" fillId="0" borderId="0" xfId="0" applyNumberFormat="1" applyAlignment="1">
      <alignment horizontal="center"/>
    </xf>
    <xf numFmtId="2" fontId="2" fillId="0" borderId="0" xfId="0" applyNumberFormat="1" applyFont="1" applyAlignment="1">
      <alignment horizontal="center"/>
    </xf>
    <xf numFmtId="0" fontId="2" fillId="0" borderId="0" xfId="0" applyFont="1" applyAlignment="1">
      <alignment vertical="center" wrapText="1"/>
    </xf>
    <xf numFmtId="9" fontId="0" fillId="6" borderId="0" xfId="0" applyNumberFormat="1" applyFill="1" applyAlignment="1">
      <alignment horizontal="center"/>
    </xf>
    <xf numFmtId="166" fontId="0" fillId="0" borderId="0" xfId="0" applyNumberFormat="1"/>
    <xf numFmtId="14" fontId="2" fillId="2" borderId="10" xfId="0" applyNumberFormat="1" applyFont="1" applyFill="1" applyBorder="1" applyAlignment="1">
      <alignment horizontal="center" vertical="center"/>
    </xf>
    <xf numFmtId="0" fontId="2" fillId="2" borderId="10" xfId="0" applyFont="1" applyFill="1" applyBorder="1" applyAlignment="1">
      <alignment horizontal="center" vertical="center" wrapText="1"/>
    </xf>
    <xf numFmtId="14" fontId="0" fillId="2" borderId="10" xfId="0" applyNumberFormat="1" applyFill="1" applyBorder="1" applyAlignment="1">
      <alignment horizontal="center" vertical="center"/>
    </xf>
    <xf numFmtId="0" fontId="0" fillId="2" borderId="10" xfId="0" applyFill="1" applyBorder="1" applyAlignment="1">
      <alignment horizontal="center" vertical="center"/>
    </xf>
    <xf numFmtId="0" fontId="2" fillId="2" borderId="10" xfId="0" quotePrefix="1" applyFont="1" applyFill="1" applyBorder="1" applyAlignment="1">
      <alignment horizontal="center" vertical="center" wrapText="1"/>
    </xf>
    <xf numFmtId="0" fontId="2" fillId="2" borderId="10" xfId="0" quotePrefix="1" applyFont="1" applyFill="1" applyBorder="1" applyAlignment="1">
      <alignment horizontal="center" vertical="center"/>
    </xf>
    <xf numFmtId="166" fontId="2" fillId="2" borderId="10" xfId="0" applyNumberFormat="1" applyFont="1" applyFill="1" applyBorder="1" applyAlignment="1">
      <alignment horizontal="center" vertical="center"/>
    </xf>
    <xf numFmtId="2" fontId="0" fillId="0" borderId="0" xfId="0" applyNumberFormat="1" applyAlignment="1">
      <alignment horizontal="center" vertical="top"/>
    </xf>
    <xf numFmtId="2" fontId="0" fillId="0" borderId="0" xfId="0" applyNumberFormat="1" applyAlignment="1">
      <alignment horizontal="center"/>
    </xf>
    <xf numFmtId="2" fontId="0" fillId="0" borderId="0" xfId="1" applyNumberFormat="1" applyFont="1" applyAlignment="1">
      <alignment horizontal="center"/>
    </xf>
    <xf numFmtId="165" fontId="0" fillId="0" borderId="0" xfId="1" applyNumberFormat="1" applyFont="1" applyAlignment="1">
      <alignment horizontal="center"/>
    </xf>
    <xf numFmtId="165" fontId="0" fillId="0" borderId="0" xfId="0" applyNumberFormat="1" applyAlignment="1">
      <alignment horizontal="center"/>
    </xf>
    <xf numFmtId="1" fontId="0" fillId="0" borderId="0" xfId="0" applyNumberFormat="1" applyAlignment="1">
      <alignment horizontal="center"/>
    </xf>
    <xf numFmtId="167" fontId="0" fillId="0" borderId="0" xfId="1" applyNumberFormat="1" applyFont="1" applyAlignment="1">
      <alignment horizontal="center"/>
    </xf>
    <xf numFmtId="0" fontId="0" fillId="0" borderId="0" xfId="0" applyAlignment="1">
      <alignment horizontal="lef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263EB-DCA4-4299-85D1-0506F221DEB7}">
  <sheetPr>
    <tabColor rgb="FF92D050"/>
  </sheetPr>
  <dimension ref="B1:Q131"/>
  <sheetViews>
    <sheetView showGridLines="0" tabSelected="1" workbookViewId="0">
      <selection activeCell="F18" sqref="F18"/>
    </sheetView>
  </sheetViews>
  <sheetFormatPr defaultRowHeight="14.4" x14ac:dyDescent="0.3"/>
  <cols>
    <col min="2" max="2" width="28" customWidth="1"/>
    <col min="3" max="3" width="28.33203125" customWidth="1"/>
    <col min="4" max="4" width="22.109375" customWidth="1"/>
    <col min="5" max="5" width="18.88671875" customWidth="1"/>
    <col min="6" max="6" width="12.5546875" customWidth="1"/>
    <col min="7" max="7" width="27.5546875" customWidth="1"/>
    <col min="8" max="8" width="21" customWidth="1"/>
    <col min="9" max="9" width="17.21875" bestFit="1" customWidth="1"/>
    <col min="10" max="10" width="12.109375" customWidth="1"/>
    <col min="11" max="11" width="11" bestFit="1" customWidth="1"/>
    <col min="12" max="12" width="15.21875" bestFit="1" customWidth="1"/>
    <col min="13" max="13" width="8.88671875" bestFit="1" customWidth="1"/>
    <col min="14" max="14" width="14.44140625" bestFit="1" customWidth="1"/>
    <col min="15" max="15" width="37.77734375" bestFit="1" customWidth="1"/>
    <col min="16" max="16" width="17.6640625" bestFit="1" customWidth="1"/>
    <col min="17" max="17" width="33.33203125" customWidth="1"/>
  </cols>
  <sheetData>
    <row r="1" spans="2:17" x14ac:dyDescent="0.3">
      <c r="B1" s="1" t="s">
        <v>0</v>
      </c>
      <c r="C1" s="1"/>
    </row>
    <row r="2" spans="2:17" x14ac:dyDescent="0.3">
      <c r="B2" s="2" t="s">
        <v>1</v>
      </c>
      <c r="C2" s="59" t="s">
        <v>2</v>
      </c>
      <c r="D2" s="59"/>
      <c r="E2" s="59"/>
      <c r="F2" s="59"/>
      <c r="G2" s="59"/>
      <c r="H2" s="59"/>
      <c r="I2" s="59"/>
      <c r="J2" s="59"/>
    </row>
    <row r="4" spans="2:17" x14ac:dyDescent="0.3">
      <c r="B4" s="1" t="s">
        <v>3</v>
      </c>
      <c r="C4" s="1"/>
    </row>
    <row r="5" spans="2:17" x14ac:dyDescent="0.3">
      <c r="C5" s="3" t="s">
        <v>4</v>
      </c>
      <c r="D5" s="4"/>
      <c r="E5" s="4"/>
      <c r="F5" s="4"/>
      <c r="G5" s="4"/>
      <c r="H5" s="4"/>
      <c r="I5" s="4"/>
      <c r="J5" s="5"/>
    </row>
    <row r="6" spans="2:17" x14ac:dyDescent="0.3">
      <c r="C6" s="6"/>
      <c r="D6" s="7" t="s">
        <v>5</v>
      </c>
      <c r="E6" s="8">
        <v>7.6</v>
      </c>
      <c r="F6" s="9" t="s">
        <v>6</v>
      </c>
      <c r="G6" s="9"/>
      <c r="H6" s="9"/>
      <c r="I6" s="9"/>
      <c r="J6" s="10"/>
    </row>
    <row r="7" spans="2:17" x14ac:dyDescent="0.3">
      <c r="C7" s="6"/>
      <c r="D7" s="7" t="s">
        <v>7</v>
      </c>
      <c r="E7" s="8">
        <v>8.3000000000000007</v>
      </c>
      <c r="F7" s="9" t="s">
        <v>6</v>
      </c>
      <c r="G7" s="9"/>
      <c r="H7" s="9"/>
      <c r="I7" s="9"/>
      <c r="J7" s="10"/>
    </row>
    <row r="8" spans="2:17" x14ac:dyDescent="0.3">
      <c r="C8" s="6"/>
      <c r="D8" s="9"/>
      <c r="E8" s="11"/>
      <c r="F8" s="9"/>
      <c r="G8" s="9"/>
      <c r="H8" s="9"/>
      <c r="I8" s="9"/>
      <c r="J8" s="10"/>
    </row>
    <row r="9" spans="2:17" x14ac:dyDescent="0.3">
      <c r="C9" s="12" t="s">
        <v>8</v>
      </c>
      <c r="D9" s="9"/>
      <c r="E9" s="8">
        <v>60</v>
      </c>
      <c r="F9" s="9" t="s">
        <v>9</v>
      </c>
      <c r="G9" s="9"/>
      <c r="H9" s="9"/>
      <c r="I9" s="9"/>
      <c r="J9" s="10"/>
    </row>
    <row r="10" spans="2:17" x14ac:dyDescent="0.3">
      <c r="C10" s="13"/>
      <c r="D10" s="14"/>
      <c r="E10" s="14"/>
      <c r="F10" s="14"/>
      <c r="G10" s="14"/>
      <c r="H10" s="14"/>
      <c r="I10" s="14"/>
      <c r="J10" s="15"/>
    </row>
    <row r="13" spans="2:17" x14ac:dyDescent="0.3">
      <c r="B13" s="1" t="s">
        <v>10</v>
      </c>
      <c r="C13" s="1"/>
      <c r="D13" s="16"/>
    </row>
    <row r="14" spans="2:17" x14ac:dyDescent="0.3">
      <c r="B14" s="17" t="s">
        <v>11</v>
      </c>
      <c r="C14" s="1" t="s">
        <v>12</v>
      </c>
      <c r="D14" s="16"/>
    </row>
    <row r="15" spans="2:17" x14ac:dyDescent="0.3">
      <c r="C15" t="s">
        <v>13</v>
      </c>
      <c r="D15" s="18" t="s">
        <v>14</v>
      </c>
      <c r="E15" t="s">
        <v>15</v>
      </c>
    </row>
    <row r="16" spans="2:17" x14ac:dyDescent="0.3">
      <c r="C16" t="s">
        <v>16</v>
      </c>
      <c r="D16" s="19">
        <v>5</v>
      </c>
      <c r="E16" t="s">
        <v>17</v>
      </c>
      <c r="O16" s="20" t="s">
        <v>18</v>
      </c>
      <c r="P16" s="20" t="s">
        <v>19</v>
      </c>
      <c r="Q16" s="20" t="s">
        <v>20</v>
      </c>
    </row>
    <row r="17" spans="2:17" x14ac:dyDescent="0.3">
      <c r="C17" t="s">
        <v>21</v>
      </c>
      <c r="D17" s="21">
        <v>46005</v>
      </c>
      <c r="E17" t="s">
        <v>22</v>
      </c>
      <c r="O17" s="22" t="s">
        <v>23</v>
      </c>
      <c r="P17" s="23" t="s">
        <v>24</v>
      </c>
      <c r="Q17" s="22" t="s">
        <v>25</v>
      </c>
    </row>
    <row r="18" spans="2:17" x14ac:dyDescent="0.3">
      <c r="C18" t="s">
        <v>26</v>
      </c>
      <c r="D18" s="18">
        <f>DAY(EOMONTH(D17,0))</f>
        <v>31</v>
      </c>
      <c r="E18" t="s">
        <v>27</v>
      </c>
      <c r="O18" s="22" t="s">
        <v>28</v>
      </c>
      <c r="P18" s="23" t="s">
        <v>29</v>
      </c>
      <c r="Q18" s="22" t="s">
        <v>30</v>
      </c>
    </row>
    <row r="19" spans="2:17" x14ac:dyDescent="0.3">
      <c r="C19" t="s">
        <v>31</v>
      </c>
      <c r="D19" s="24">
        <f>EOMONTH(D17,0)</f>
        <v>46022</v>
      </c>
      <c r="O19" s="22" t="s">
        <v>32</v>
      </c>
      <c r="P19" s="23" t="s">
        <v>33</v>
      </c>
      <c r="Q19" s="22" t="s">
        <v>34</v>
      </c>
    </row>
    <row r="20" spans="2:17" x14ac:dyDescent="0.3">
      <c r="C20" t="s">
        <v>35</v>
      </c>
      <c r="D20">
        <f>D19-D17+1</f>
        <v>18</v>
      </c>
      <c r="E20" t="s">
        <v>36</v>
      </c>
      <c r="O20" s="22" t="s">
        <v>37</v>
      </c>
      <c r="P20" s="23" t="s">
        <v>38</v>
      </c>
      <c r="Q20" s="22" t="s">
        <v>39</v>
      </c>
    </row>
    <row r="21" spans="2:17" x14ac:dyDescent="0.3">
      <c r="C21" t="s">
        <v>40</v>
      </c>
      <c r="D21" s="25">
        <f>ROUNDUP(D20/D18,4)</f>
        <v>0.58069999999999999</v>
      </c>
      <c r="P21" s="26"/>
    </row>
    <row r="22" spans="2:17" x14ac:dyDescent="0.3">
      <c r="C22" t="s">
        <v>41</v>
      </c>
      <c r="D22" s="27">
        <v>1000</v>
      </c>
      <c r="P22" s="26"/>
    </row>
    <row r="23" spans="2:17" x14ac:dyDescent="0.3">
      <c r="O23" s="20" t="s">
        <v>42</v>
      </c>
      <c r="P23" s="20" t="s">
        <v>43</v>
      </c>
      <c r="Q23" s="20" t="s">
        <v>44</v>
      </c>
    </row>
    <row r="24" spans="2:17" x14ac:dyDescent="0.3">
      <c r="O24" s="22" t="s">
        <v>45</v>
      </c>
      <c r="P24" s="23" t="s">
        <v>46</v>
      </c>
      <c r="Q24" s="23" t="s">
        <v>47</v>
      </c>
    </row>
    <row r="25" spans="2:17" x14ac:dyDescent="0.3">
      <c r="B25" s="17" t="s">
        <v>48</v>
      </c>
      <c r="C25" s="1" t="s">
        <v>49</v>
      </c>
      <c r="O25" s="22" t="s">
        <v>50</v>
      </c>
      <c r="P25" s="23" t="s">
        <v>51</v>
      </c>
      <c r="Q25" s="23" t="s">
        <v>52</v>
      </c>
    </row>
    <row r="26" spans="2:17" x14ac:dyDescent="0.3">
      <c r="C26" s="1" t="s">
        <v>53</v>
      </c>
      <c r="D26" s="16"/>
      <c r="O26" s="22" t="s">
        <v>54</v>
      </c>
      <c r="P26" s="23" t="s">
        <v>55</v>
      </c>
      <c r="Q26" s="23" t="s">
        <v>56</v>
      </c>
    </row>
    <row r="27" spans="2:17" x14ac:dyDescent="0.3">
      <c r="C27" s="28" t="s">
        <v>57</v>
      </c>
      <c r="D27" s="28" t="s">
        <v>58</v>
      </c>
      <c r="E27" s="28" t="s">
        <v>59</v>
      </c>
      <c r="F27" s="28" t="s">
        <v>60</v>
      </c>
      <c r="G27" s="28"/>
      <c r="O27" s="22" t="s">
        <v>61</v>
      </c>
      <c r="P27" s="23" t="s">
        <v>62</v>
      </c>
      <c r="Q27" s="23" t="s">
        <v>63</v>
      </c>
    </row>
    <row r="28" spans="2:17" x14ac:dyDescent="0.3">
      <c r="C28" s="29">
        <v>1</v>
      </c>
      <c r="D28" s="29">
        <v>0</v>
      </c>
      <c r="E28" s="29">
        <v>150</v>
      </c>
      <c r="F28" s="30">
        <f>$E$6</f>
        <v>7.6</v>
      </c>
      <c r="G28" s="28"/>
      <c r="O28" s="22" t="s">
        <v>64</v>
      </c>
      <c r="P28" s="23" t="s">
        <v>65</v>
      </c>
      <c r="Q28" s="23" t="s">
        <v>66</v>
      </c>
    </row>
    <row r="29" spans="2:17" x14ac:dyDescent="0.3">
      <c r="C29" s="29">
        <v>2</v>
      </c>
      <c r="D29" s="29">
        <v>150.001</v>
      </c>
      <c r="E29" s="29" t="s">
        <v>67</v>
      </c>
      <c r="F29" s="30">
        <f>$E$7</f>
        <v>8.3000000000000007</v>
      </c>
      <c r="G29" s="28"/>
    </row>
    <row r="31" spans="2:17" x14ac:dyDescent="0.3">
      <c r="C31" s="1" t="s">
        <v>68</v>
      </c>
      <c r="D31" s="16"/>
    </row>
    <row r="32" spans="2:17" x14ac:dyDescent="0.3">
      <c r="C32" s="28" t="s">
        <v>57</v>
      </c>
      <c r="D32" s="28" t="s">
        <v>58</v>
      </c>
      <c r="E32" s="28" t="s">
        <v>59</v>
      </c>
      <c r="F32" s="28" t="s">
        <v>60</v>
      </c>
      <c r="G32" s="28"/>
    </row>
    <row r="33" spans="2:8" x14ac:dyDescent="0.3">
      <c r="C33" s="29">
        <v>1</v>
      </c>
      <c r="D33" s="29">
        <v>0</v>
      </c>
      <c r="E33" s="29">
        <f>ROUNDDOWN(E28*D21,3)</f>
        <v>87.105000000000004</v>
      </c>
      <c r="F33" s="30">
        <f>$E$6</f>
        <v>7.6</v>
      </c>
      <c r="G33" s="28"/>
    </row>
    <row r="34" spans="2:8" x14ac:dyDescent="0.3">
      <c r="C34" s="29">
        <v>2</v>
      </c>
      <c r="D34" s="29">
        <f>E33+0.001</f>
        <v>87.106000000000009</v>
      </c>
      <c r="E34" s="29" t="s">
        <v>67</v>
      </c>
      <c r="F34" s="30">
        <f>$E$7</f>
        <v>8.3000000000000007</v>
      </c>
      <c r="G34" s="28"/>
    </row>
    <row r="37" spans="2:8" x14ac:dyDescent="0.3">
      <c r="B37" s="17" t="s">
        <v>69</v>
      </c>
      <c r="C37" s="1" t="s">
        <v>70</v>
      </c>
      <c r="D37" s="16"/>
    </row>
    <row r="38" spans="2:8" x14ac:dyDescent="0.3">
      <c r="D38" s="18" t="s">
        <v>71</v>
      </c>
      <c r="E38" s="31">
        <f>E9*D16</f>
        <v>300</v>
      </c>
    </row>
    <row r="39" spans="2:8" x14ac:dyDescent="0.3">
      <c r="D39" s="18" t="s">
        <v>72</v>
      </c>
      <c r="E39" s="25">
        <f>E38*D21</f>
        <v>174.21</v>
      </c>
      <c r="G39" t="s">
        <v>73</v>
      </c>
    </row>
    <row r="40" spans="2:8" x14ac:dyDescent="0.3">
      <c r="D40" s="18" t="s">
        <v>74</v>
      </c>
      <c r="E40">
        <f>ROUNDUP(E39/D20,4)</f>
        <v>9.6783999999999999</v>
      </c>
      <c r="G40" t="s">
        <v>75</v>
      </c>
    </row>
    <row r="43" spans="2:8" x14ac:dyDescent="0.3">
      <c r="B43" s="17" t="s">
        <v>76</v>
      </c>
      <c r="C43" s="1" t="s">
        <v>77</v>
      </c>
      <c r="D43" s="16"/>
    </row>
    <row r="45" spans="2:8" ht="28.8" x14ac:dyDescent="0.3">
      <c r="C45" s="32" t="s">
        <v>22</v>
      </c>
      <c r="D45" s="33" t="s">
        <v>78</v>
      </c>
      <c r="E45" s="33" t="s">
        <v>79</v>
      </c>
      <c r="G45" s="34"/>
      <c r="H45" s="35"/>
    </row>
    <row r="46" spans="2:8" x14ac:dyDescent="0.3">
      <c r="C46" s="36">
        <f>EOMONTH(D17,-1)+1</f>
        <v>45992</v>
      </c>
      <c r="D46" s="37" t="str">
        <f>IF(C46&lt;$D$17,"0.00",INDEX($E$46:$E$76,MATCH(C46,$C$46:$C$76,0)))</f>
        <v>0.00</v>
      </c>
      <c r="E46" s="37">
        <v>7</v>
      </c>
      <c r="G46" s="38"/>
      <c r="H46" s="39"/>
    </row>
    <row r="47" spans="2:8" x14ac:dyDescent="0.3">
      <c r="C47" s="36">
        <f>C46+1</f>
        <v>45993</v>
      </c>
      <c r="D47" s="37" t="str">
        <f t="shared" ref="D47:D76" si="0">IF(C47&lt;$D$17,"0.00",INDEX($E$46:$E$76,MATCH(C47,$C$46:$C$76,0)))</f>
        <v>0.00</v>
      </c>
      <c r="E47" s="37">
        <v>7.2</v>
      </c>
      <c r="G47" s="38"/>
      <c r="H47" s="39"/>
    </row>
    <row r="48" spans="2:8" x14ac:dyDescent="0.3">
      <c r="C48" s="36">
        <f t="shared" ref="C48:C76" si="1">C47+1</f>
        <v>45994</v>
      </c>
      <c r="D48" s="37" t="str">
        <f t="shared" si="0"/>
        <v>0.00</v>
      </c>
      <c r="E48" s="37">
        <v>7.1</v>
      </c>
      <c r="G48" s="38"/>
      <c r="H48" s="39"/>
    </row>
    <row r="49" spans="3:8" x14ac:dyDescent="0.3">
      <c r="C49" s="36">
        <f t="shared" si="1"/>
        <v>45995</v>
      </c>
      <c r="D49" s="37" t="str">
        <f t="shared" si="0"/>
        <v>0.00</v>
      </c>
      <c r="E49" s="37">
        <v>7</v>
      </c>
      <c r="G49" s="38"/>
      <c r="H49" s="39"/>
    </row>
    <row r="50" spans="3:8" x14ac:dyDescent="0.3">
      <c r="C50" s="36">
        <f t="shared" si="1"/>
        <v>45996</v>
      </c>
      <c r="D50" s="37" t="str">
        <f t="shared" si="0"/>
        <v>0.00</v>
      </c>
      <c r="E50" s="37">
        <v>7.4</v>
      </c>
      <c r="G50" s="38"/>
      <c r="H50" s="39"/>
    </row>
    <row r="51" spans="3:8" x14ac:dyDescent="0.3">
      <c r="C51" s="36">
        <f t="shared" si="1"/>
        <v>45997</v>
      </c>
      <c r="D51" s="37" t="str">
        <f t="shared" si="0"/>
        <v>0.00</v>
      </c>
      <c r="E51" s="37">
        <v>6.8</v>
      </c>
      <c r="G51" s="38"/>
      <c r="H51" s="39"/>
    </row>
    <row r="52" spans="3:8" x14ac:dyDescent="0.3">
      <c r="C52" s="36">
        <f t="shared" si="1"/>
        <v>45998</v>
      </c>
      <c r="D52" s="37" t="str">
        <f t="shared" si="0"/>
        <v>0.00</v>
      </c>
      <c r="E52" s="37">
        <v>6.5</v>
      </c>
      <c r="G52" s="38"/>
      <c r="H52" s="39"/>
    </row>
    <row r="53" spans="3:8" x14ac:dyDescent="0.3">
      <c r="C53" s="36">
        <f t="shared" si="1"/>
        <v>45999</v>
      </c>
      <c r="D53" s="37" t="str">
        <f t="shared" si="0"/>
        <v>0.00</v>
      </c>
      <c r="E53" s="37">
        <v>7.1</v>
      </c>
      <c r="G53" s="38"/>
      <c r="H53" s="39"/>
    </row>
    <row r="54" spans="3:8" x14ac:dyDescent="0.3">
      <c r="C54" s="36">
        <f t="shared" si="1"/>
        <v>46000</v>
      </c>
      <c r="D54" s="37" t="str">
        <f t="shared" si="0"/>
        <v>0.00</v>
      </c>
      <c r="E54" s="37">
        <v>7.3</v>
      </c>
      <c r="G54" s="38"/>
      <c r="H54" s="39"/>
    </row>
    <row r="55" spans="3:8" x14ac:dyDescent="0.3">
      <c r="C55" s="36">
        <f t="shared" si="1"/>
        <v>46001</v>
      </c>
      <c r="D55" s="37" t="str">
        <f t="shared" si="0"/>
        <v>0.00</v>
      </c>
      <c r="E55" s="37">
        <v>7.2</v>
      </c>
      <c r="G55" s="38"/>
      <c r="H55" s="39"/>
    </row>
    <row r="56" spans="3:8" x14ac:dyDescent="0.3">
      <c r="C56" s="36">
        <f t="shared" si="1"/>
        <v>46002</v>
      </c>
      <c r="D56" s="37" t="str">
        <f t="shared" si="0"/>
        <v>0.00</v>
      </c>
      <c r="E56" s="37">
        <v>7.6</v>
      </c>
      <c r="G56" s="38"/>
      <c r="H56" s="39"/>
    </row>
    <row r="57" spans="3:8" x14ac:dyDescent="0.3">
      <c r="C57" s="36">
        <f t="shared" si="1"/>
        <v>46003</v>
      </c>
      <c r="D57" s="37" t="str">
        <f t="shared" si="0"/>
        <v>0.00</v>
      </c>
      <c r="E57" s="37">
        <v>7</v>
      </c>
      <c r="G57" s="38"/>
      <c r="H57" s="39"/>
    </row>
    <row r="58" spans="3:8" x14ac:dyDescent="0.3">
      <c r="C58" s="36">
        <f t="shared" si="1"/>
        <v>46004</v>
      </c>
      <c r="D58" s="37" t="str">
        <f t="shared" si="0"/>
        <v>0.00</v>
      </c>
      <c r="E58" s="37">
        <v>7.2</v>
      </c>
      <c r="G58" s="38"/>
      <c r="H58" s="39"/>
    </row>
    <row r="59" spans="3:8" x14ac:dyDescent="0.3">
      <c r="C59" s="36">
        <f t="shared" si="1"/>
        <v>46005</v>
      </c>
      <c r="D59" s="37">
        <f t="shared" si="0"/>
        <v>6.6</v>
      </c>
      <c r="E59" s="37">
        <v>6.6</v>
      </c>
      <c r="G59" s="38"/>
      <c r="H59" s="39"/>
    </row>
    <row r="60" spans="3:8" x14ac:dyDescent="0.3">
      <c r="C60" s="36">
        <f t="shared" si="1"/>
        <v>46006</v>
      </c>
      <c r="D60" s="37">
        <f t="shared" si="0"/>
        <v>7.3</v>
      </c>
      <c r="E60" s="37">
        <v>7.3</v>
      </c>
      <c r="G60" s="38"/>
      <c r="H60" s="39"/>
    </row>
    <row r="61" spans="3:8" x14ac:dyDescent="0.3">
      <c r="C61" s="36">
        <f t="shared" si="1"/>
        <v>46007</v>
      </c>
      <c r="D61" s="37">
        <f t="shared" si="0"/>
        <v>7.7</v>
      </c>
      <c r="E61" s="37">
        <v>7.7</v>
      </c>
      <c r="G61" s="38"/>
      <c r="H61" s="39"/>
    </row>
    <row r="62" spans="3:8" x14ac:dyDescent="0.3">
      <c r="C62" s="36">
        <f t="shared" si="1"/>
        <v>46008</v>
      </c>
      <c r="D62" s="37">
        <f t="shared" si="0"/>
        <v>7</v>
      </c>
      <c r="E62" s="37">
        <v>7</v>
      </c>
      <c r="G62" s="38"/>
      <c r="H62" s="39"/>
    </row>
    <row r="63" spans="3:8" x14ac:dyDescent="0.3">
      <c r="C63" s="36">
        <f t="shared" si="1"/>
        <v>46009</v>
      </c>
      <c r="D63" s="37">
        <f t="shared" si="0"/>
        <v>7.2</v>
      </c>
      <c r="E63" s="37">
        <v>7.2</v>
      </c>
      <c r="G63" s="38"/>
      <c r="H63" s="39"/>
    </row>
    <row r="64" spans="3:8" x14ac:dyDescent="0.3">
      <c r="C64" s="36">
        <f t="shared" si="1"/>
        <v>46010</v>
      </c>
      <c r="D64" s="37">
        <f t="shared" si="0"/>
        <v>7.1</v>
      </c>
      <c r="E64" s="37">
        <v>7.1</v>
      </c>
      <c r="G64" s="38"/>
      <c r="H64" s="39"/>
    </row>
    <row r="65" spans="2:14" x14ac:dyDescent="0.3">
      <c r="C65" s="36">
        <f t="shared" si="1"/>
        <v>46011</v>
      </c>
      <c r="D65" s="37">
        <f t="shared" si="0"/>
        <v>7.4</v>
      </c>
      <c r="E65" s="37">
        <v>7.4</v>
      </c>
      <c r="G65" s="38"/>
      <c r="H65" s="39"/>
    </row>
    <row r="66" spans="2:14" x14ac:dyDescent="0.3">
      <c r="C66" s="36">
        <f t="shared" si="1"/>
        <v>46012</v>
      </c>
      <c r="D66" s="37">
        <f t="shared" si="0"/>
        <v>6.6</v>
      </c>
      <c r="E66" s="37">
        <v>6.6</v>
      </c>
      <c r="G66" s="38"/>
      <c r="H66" s="39"/>
    </row>
    <row r="67" spans="2:14" x14ac:dyDescent="0.3">
      <c r="C67" s="36">
        <f t="shared" si="1"/>
        <v>46013</v>
      </c>
      <c r="D67" s="37">
        <f t="shared" si="0"/>
        <v>7</v>
      </c>
      <c r="E67" s="37">
        <v>7</v>
      </c>
      <c r="G67" s="38"/>
      <c r="H67" s="39"/>
    </row>
    <row r="68" spans="2:14" x14ac:dyDescent="0.3">
      <c r="C68" s="36">
        <f t="shared" si="1"/>
        <v>46014</v>
      </c>
      <c r="D68" s="37">
        <f t="shared" si="0"/>
        <v>7.3</v>
      </c>
      <c r="E68" s="37">
        <v>7.3</v>
      </c>
      <c r="G68" s="38"/>
      <c r="H68" s="39"/>
    </row>
    <row r="69" spans="2:14" x14ac:dyDescent="0.3">
      <c r="C69" s="36">
        <f t="shared" si="1"/>
        <v>46015</v>
      </c>
      <c r="D69" s="37">
        <f t="shared" si="0"/>
        <v>7.5</v>
      </c>
      <c r="E69" s="37">
        <v>7.5</v>
      </c>
      <c r="G69" s="38"/>
      <c r="H69" s="39"/>
    </row>
    <row r="70" spans="2:14" x14ac:dyDescent="0.3">
      <c r="C70" s="36">
        <f t="shared" si="1"/>
        <v>46016</v>
      </c>
      <c r="D70" s="37">
        <f t="shared" si="0"/>
        <v>6.2</v>
      </c>
      <c r="E70" s="37">
        <v>6.2</v>
      </c>
      <c r="G70" s="38"/>
      <c r="H70" s="39"/>
    </row>
    <row r="71" spans="2:14" x14ac:dyDescent="0.3">
      <c r="C71" s="36">
        <f t="shared" si="1"/>
        <v>46017</v>
      </c>
      <c r="D71" s="37">
        <f t="shared" si="0"/>
        <v>7.1</v>
      </c>
      <c r="E71" s="37">
        <v>7.1</v>
      </c>
      <c r="G71" s="38"/>
      <c r="H71" s="39"/>
    </row>
    <row r="72" spans="2:14" x14ac:dyDescent="0.3">
      <c r="C72" s="36">
        <f t="shared" si="1"/>
        <v>46018</v>
      </c>
      <c r="D72" s="37">
        <f t="shared" si="0"/>
        <v>6.8</v>
      </c>
      <c r="E72" s="37">
        <v>6.8</v>
      </c>
      <c r="G72" s="38"/>
      <c r="H72" s="39"/>
    </row>
    <row r="73" spans="2:14" x14ac:dyDescent="0.3">
      <c r="C73" s="36">
        <f t="shared" si="1"/>
        <v>46019</v>
      </c>
      <c r="D73" s="37">
        <f t="shared" si="0"/>
        <v>7.2</v>
      </c>
      <c r="E73" s="37">
        <v>7.2</v>
      </c>
      <c r="G73" s="38"/>
      <c r="H73" s="39"/>
    </row>
    <row r="74" spans="2:14" x14ac:dyDescent="0.3">
      <c r="C74" s="36">
        <f t="shared" si="1"/>
        <v>46020</v>
      </c>
      <c r="D74" s="37">
        <f>IF(C74&lt;$D$17,"0.00",INDEX($E$46:$E$76,MATCH(C74,$C$46:$C$76,0)))</f>
        <v>7</v>
      </c>
      <c r="E74" s="37">
        <v>7</v>
      </c>
      <c r="G74" s="38"/>
      <c r="H74" s="39"/>
    </row>
    <row r="75" spans="2:14" x14ac:dyDescent="0.3">
      <c r="C75" s="36">
        <f t="shared" si="1"/>
        <v>46021</v>
      </c>
      <c r="D75" s="37">
        <f t="shared" si="0"/>
        <v>7.1</v>
      </c>
      <c r="E75" s="37">
        <v>7.1</v>
      </c>
      <c r="G75" s="38"/>
      <c r="H75" s="39"/>
    </row>
    <row r="76" spans="2:14" x14ac:dyDescent="0.3">
      <c r="C76" s="36">
        <f t="shared" si="1"/>
        <v>46022</v>
      </c>
      <c r="D76" s="37">
        <f t="shared" si="0"/>
        <v>7.6</v>
      </c>
      <c r="E76" s="37">
        <v>7.6</v>
      </c>
      <c r="G76" s="38"/>
      <c r="H76" s="39"/>
    </row>
    <row r="77" spans="2:14" x14ac:dyDescent="0.3">
      <c r="C77" s="40"/>
      <c r="D77" s="41">
        <f>SUM(D46:D76)</f>
        <v>127.69999999999999</v>
      </c>
      <c r="E77" s="41">
        <f>SUM(E46:E76)</f>
        <v>220.09999999999997</v>
      </c>
      <c r="G77" s="42"/>
      <c r="H77" s="35"/>
    </row>
    <row r="78" spans="2:14" x14ac:dyDescent="0.3">
      <c r="C78" s="40"/>
    </row>
    <row r="79" spans="2:14" x14ac:dyDescent="0.3">
      <c r="C79" s="40"/>
    </row>
    <row r="80" spans="2:14" x14ac:dyDescent="0.3">
      <c r="B80" s="1" t="s">
        <v>80</v>
      </c>
      <c r="C80" s="40"/>
      <c r="K80" s="43">
        <v>0.02</v>
      </c>
      <c r="N80" s="44"/>
    </row>
    <row r="81" spans="3:14" ht="43.2" x14ac:dyDescent="0.3">
      <c r="C81" s="45" t="s">
        <v>22</v>
      </c>
      <c r="D81" s="46" t="s">
        <v>81</v>
      </c>
      <c r="E81" s="46" t="s">
        <v>82</v>
      </c>
      <c r="F81" s="46" t="s">
        <v>83</v>
      </c>
      <c r="G81" s="46" t="s">
        <v>84</v>
      </c>
      <c r="H81" s="46" t="s">
        <v>85</v>
      </c>
      <c r="I81" s="46" t="s">
        <v>8</v>
      </c>
      <c r="J81" s="46" t="s">
        <v>86</v>
      </c>
      <c r="K81" s="46" t="s">
        <v>87</v>
      </c>
      <c r="L81" s="46" t="s">
        <v>88</v>
      </c>
      <c r="M81" s="46" t="s">
        <v>89</v>
      </c>
      <c r="N81" s="46" t="s">
        <v>90</v>
      </c>
    </row>
    <row r="82" spans="3:14" ht="72" x14ac:dyDescent="0.3">
      <c r="C82" s="47"/>
      <c r="D82" s="48"/>
      <c r="E82" s="48"/>
      <c r="F82" s="48"/>
      <c r="G82" s="49" t="s">
        <v>91</v>
      </c>
      <c r="H82" s="49" t="s">
        <v>92</v>
      </c>
      <c r="I82" s="49" t="s">
        <v>93</v>
      </c>
      <c r="J82" s="49" t="s">
        <v>94</v>
      </c>
      <c r="K82" s="49" t="s">
        <v>95</v>
      </c>
      <c r="L82" s="49" t="s">
        <v>96</v>
      </c>
      <c r="M82" s="50"/>
      <c r="N82" s="51">
        <f>D22</f>
        <v>1000</v>
      </c>
    </row>
    <row r="83" spans="3:14" x14ac:dyDescent="0.3">
      <c r="C83" s="40">
        <f>C46</f>
        <v>45992</v>
      </c>
      <c r="D83" s="52">
        <v>0</v>
      </c>
      <c r="E83" s="52" t="str">
        <f>D46</f>
        <v>0.00</v>
      </c>
      <c r="F83" s="53">
        <f>E83-D83</f>
        <v>0</v>
      </c>
      <c r="G83" s="26" t="str">
        <f t="shared" ref="G83:G102" si="2">IF(E83&lt;=$E$33,"1","2")</f>
        <v>2</v>
      </c>
      <c r="H83" s="54">
        <f>ROUNDDOWN(IF(G83="1",F83*$F$33,IF(G83="2",F83*$F$34,0)),2)</f>
        <v>0</v>
      </c>
      <c r="I83" s="55">
        <f t="shared" ref="I83:I113" si="3">IF(C83&lt;$D$17,0,$E$40)</f>
        <v>0</v>
      </c>
      <c r="J83" s="56">
        <f t="shared" ref="J83:J113" si="4">ROUNDDOWN(H83+I83,4)</f>
        <v>0</v>
      </c>
      <c r="K83" s="56">
        <f t="shared" ref="K83:K113" si="5">ROUNDDOWN($K$80*J83,4)</f>
        <v>0</v>
      </c>
      <c r="L83" s="56">
        <f t="shared" ref="L83:L113" si="6">ROUNDDOWN(J83+K83,4)</f>
        <v>0</v>
      </c>
      <c r="M83" s="57">
        <f>IF(C83&lt;$D$17,0,IF(C83=$D$17,$D$22,0))</f>
        <v>0</v>
      </c>
      <c r="N83" s="58">
        <f>IF(C83&lt;$D$17,0,IF(C83=$D$17,M83-L83,N82-L83+M83))</f>
        <v>0</v>
      </c>
    </row>
    <row r="84" spans="3:14" x14ac:dyDescent="0.3">
      <c r="C84" s="40">
        <f>C83+1</f>
        <v>45993</v>
      </c>
      <c r="D84" s="53" t="str">
        <f>E83</f>
        <v>0.00</v>
      </c>
      <c r="E84" s="53">
        <f t="shared" ref="E84:E113" si="7">E83+D47</f>
        <v>0</v>
      </c>
      <c r="F84" s="53">
        <f>E84-D84</f>
        <v>0</v>
      </c>
      <c r="G84" s="26" t="str">
        <f t="shared" si="2"/>
        <v>1</v>
      </c>
      <c r="H84" s="54">
        <f t="shared" ref="H84:H113" si="8">ROUNDDOWN(IF(G84="1",F84*$F$33,IF(G84="2",F84*$F$34,0)),2)</f>
        <v>0</v>
      </c>
      <c r="I84" s="55">
        <f t="shared" si="3"/>
        <v>0</v>
      </c>
      <c r="J84" s="56">
        <f t="shared" si="4"/>
        <v>0</v>
      </c>
      <c r="K84" s="56">
        <f t="shared" si="5"/>
        <v>0</v>
      </c>
      <c r="L84" s="56">
        <f t="shared" si="6"/>
        <v>0</v>
      </c>
      <c r="M84" s="57">
        <f>IF(C84&lt;$D$17,0,IF(C84=$D$17,$D$22,0))</f>
        <v>0</v>
      </c>
      <c r="N84" s="58">
        <f t="shared" ref="N84:N113" si="9">IF(C84&lt;$D$17,0,IF(C84=$D$17,M84-L84,N83-L84+M84))</f>
        <v>0</v>
      </c>
    </row>
    <row r="85" spans="3:14" x14ac:dyDescent="0.3">
      <c r="C85" s="40">
        <f t="shared" ref="C85:C113" si="10">C84+1</f>
        <v>45994</v>
      </c>
      <c r="D85" s="53">
        <f>E84</f>
        <v>0</v>
      </c>
      <c r="E85" s="53">
        <f t="shared" si="7"/>
        <v>0</v>
      </c>
      <c r="F85" s="53">
        <f>E85-D85</f>
        <v>0</v>
      </c>
      <c r="G85" s="26" t="str">
        <f t="shared" si="2"/>
        <v>1</v>
      </c>
      <c r="H85" s="54">
        <f t="shared" si="8"/>
        <v>0</v>
      </c>
      <c r="I85" s="55">
        <f t="shared" si="3"/>
        <v>0</v>
      </c>
      <c r="J85" s="56">
        <f t="shared" si="4"/>
        <v>0</v>
      </c>
      <c r="K85" s="56">
        <f t="shared" si="5"/>
        <v>0</v>
      </c>
      <c r="L85" s="56">
        <f t="shared" si="6"/>
        <v>0</v>
      </c>
      <c r="M85" s="57">
        <f>IF(C85&lt;$D$17,0,IF(C85=$D$17,$D$22,0))</f>
        <v>0</v>
      </c>
      <c r="N85" s="58">
        <f t="shared" si="9"/>
        <v>0</v>
      </c>
    </row>
    <row r="86" spans="3:14" x14ac:dyDescent="0.3">
      <c r="C86" s="40">
        <f t="shared" si="10"/>
        <v>45995</v>
      </c>
      <c r="D86" s="53">
        <f t="shared" ref="D86:D113" si="11">E85</f>
        <v>0</v>
      </c>
      <c r="E86" s="53">
        <f t="shared" si="7"/>
        <v>0</v>
      </c>
      <c r="F86" s="53">
        <f t="shared" ref="F86:F113" si="12">E86-D86</f>
        <v>0</v>
      </c>
      <c r="G86" s="26" t="str">
        <f t="shared" si="2"/>
        <v>1</v>
      </c>
      <c r="H86" s="54">
        <f t="shared" si="8"/>
        <v>0</v>
      </c>
      <c r="I86" s="55">
        <f t="shared" si="3"/>
        <v>0</v>
      </c>
      <c r="J86" s="56">
        <f t="shared" si="4"/>
        <v>0</v>
      </c>
      <c r="K86" s="56">
        <f t="shared" si="5"/>
        <v>0</v>
      </c>
      <c r="L86" s="56">
        <f t="shared" si="6"/>
        <v>0</v>
      </c>
      <c r="M86" s="57">
        <f t="shared" ref="M86:M113" si="13">IF(C86&lt;$D$17,0,IF(C86=$D$17,$D$22,0))</f>
        <v>0</v>
      </c>
      <c r="N86" s="58">
        <f t="shared" si="9"/>
        <v>0</v>
      </c>
    </row>
    <row r="87" spans="3:14" x14ac:dyDescent="0.3">
      <c r="C87" s="40">
        <f t="shared" si="10"/>
        <v>45996</v>
      </c>
      <c r="D87" s="53">
        <f t="shared" si="11"/>
        <v>0</v>
      </c>
      <c r="E87" s="53">
        <f t="shared" si="7"/>
        <v>0</v>
      </c>
      <c r="F87" s="53">
        <f t="shared" si="12"/>
        <v>0</v>
      </c>
      <c r="G87" s="26" t="str">
        <f t="shared" si="2"/>
        <v>1</v>
      </c>
      <c r="H87" s="54">
        <f t="shared" si="8"/>
        <v>0</v>
      </c>
      <c r="I87" s="55">
        <f t="shared" si="3"/>
        <v>0</v>
      </c>
      <c r="J87" s="56">
        <f t="shared" si="4"/>
        <v>0</v>
      </c>
      <c r="K87" s="56">
        <f t="shared" si="5"/>
        <v>0</v>
      </c>
      <c r="L87" s="56">
        <f t="shared" si="6"/>
        <v>0</v>
      </c>
      <c r="M87" s="57">
        <f t="shared" si="13"/>
        <v>0</v>
      </c>
      <c r="N87" s="58">
        <f t="shared" si="9"/>
        <v>0</v>
      </c>
    </row>
    <row r="88" spans="3:14" x14ac:dyDescent="0.3">
      <c r="C88" s="40">
        <f t="shared" si="10"/>
        <v>45997</v>
      </c>
      <c r="D88" s="53">
        <f t="shared" si="11"/>
        <v>0</v>
      </c>
      <c r="E88" s="53">
        <f t="shared" si="7"/>
        <v>0</v>
      </c>
      <c r="F88" s="53">
        <f t="shared" si="12"/>
        <v>0</v>
      </c>
      <c r="G88" s="26" t="str">
        <f t="shared" si="2"/>
        <v>1</v>
      </c>
      <c r="H88" s="54">
        <f t="shared" si="8"/>
        <v>0</v>
      </c>
      <c r="I88" s="55">
        <f t="shared" si="3"/>
        <v>0</v>
      </c>
      <c r="J88" s="56">
        <f t="shared" si="4"/>
        <v>0</v>
      </c>
      <c r="K88" s="56">
        <f t="shared" si="5"/>
        <v>0</v>
      </c>
      <c r="L88" s="56">
        <f t="shared" si="6"/>
        <v>0</v>
      </c>
      <c r="M88" s="57">
        <f t="shared" si="13"/>
        <v>0</v>
      </c>
      <c r="N88" s="58">
        <f t="shared" si="9"/>
        <v>0</v>
      </c>
    </row>
    <row r="89" spans="3:14" x14ac:dyDescent="0.3">
      <c r="C89" s="40">
        <f t="shared" si="10"/>
        <v>45998</v>
      </c>
      <c r="D89" s="53">
        <f t="shared" si="11"/>
        <v>0</v>
      </c>
      <c r="E89" s="53">
        <f t="shared" si="7"/>
        <v>0</v>
      </c>
      <c r="F89" s="53">
        <f t="shared" si="12"/>
        <v>0</v>
      </c>
      <c r="G89" s="26" t="str">
        <f t="shared" si="2"/>
        <v>1</v>
      </c>
      <c r="H89" s="54">
        <f t="shared" si="8"/>
        <v>0</v>
      </c>
      <c r="I89" s="55">
        <f t="shared" si="3"/>
        <v>0</v>
      </c>
      <c r="J89" s="56">
        <f t="shared" si="4"/>
        <v>0</v>
      </c>
      <c r="K89" s="56">
        <f t="shared" si="5"/>
        <v>0</v>
      </c>
      <c r="L89" s="56">
        <f t="shared" si="6"/>
        <v>0</v>
      </c>
      <c r="M89" s="57">
        <f t="shared" si="13"/>
        <v>0</v>
      </c>
      <c r="N89" s="58">
        <f t="shared" si="9"/>
        <v>0</v>
      </c>
    </row>
    <row r="90" spans="3:14" x14ac:dyDescent="0.3">
      <c r="C90" s="40">
        <f t="shared" si="10"/>
        <v>45999</v>
      </c>
      <c r="D90" s="53">
        <f t="shared" si="11"/>
        <v>0</v>
      </c>
      <c r="E90" s="53">
        <f t="shared" si="7"/>
        <v>0</v>
      </c>
      <c r="F90" s="53">
        <f t="shared" si="12"/>
        <v>0</v>
      </c>
      <c r="G90" s="26" t="str">
        <f t="shared" si="2"/>
        <v>1</v>
      </c>
      <c r="H90" s="54">
        <f t="shared" si="8"/>
        <v>0</v>
      </c>
      <c r="I90" s="55">
        <f t="shared" si="3"/>
        <v>0</v>
      </c>
      <c r="J90" s="56">
        <f t="shared" si="4"/>
        <v>0</v>
      </c>
      <c r="K90" s="56">
        <f t="shared" si="5"/>
        <v>0</v>
      </c>
      <c r="L90" s="56">
        <f t="shared" si="6"/>
        <v>0</v>
      </c>
      <c r="M90" s="57">
        <f t="shared" si="13"/>
        <v>0</v>
      </c>
      <c r="N90" s="58">
        <f t="shared" si="9"/>
        <v>0</v>
      </c>
    </row>
    <row r="91" spans="3:14" x14ac:dyDescent="0.3">
      <c r="C91" s="40">
        <f t="shared" si="10"/>
        <v>46000</v>
      </c>
      <c r="D91" s="53">
        <f t="shared" si="11"/>
        <v>0</v>
      </c>
      <c r="E91" s="53">
        <f t="shared" si="7"/>
        <v>0</v>
      </c>
      <c r="F91" s="53">
        <f t="shared" si="12"/>
        <v>0</v>
      </c>
      <c r="G91" s="26" t="str">
        <f t="shared" si="2"/>
        <v>1</v>
      </c>
      <c r="H91" s="54">
        <f t="shared" si="8"/>
        <v>0</v>
      </c>
      <c r="I91" s="55">
        <f t="shared" si="3"/>
        <v>0</v>
      </c>
      <c r="J91" s="56">
        <f t="shared" si="4"/>
        <v>0</v>
      </c>
      <c r="K91" s="56">
        <f t="shared" si="5"/>
        <v>0</v>
      </c>
      <c r="L91" s="56">
        <f t="shared" si="6"/>
        <v>0</v>
      </c>
      <c r="M91" s="57">
        <f t="shared" si="13"/>
        <v>0</v>
      </c>
      <c r="N91" s="58">
        <f t="shared" si="9"/>
        <v>0</v>
      </c>
    </row>
    <row r="92" spans="3:14" x14ac:dyDescent="0.3">
      <c r="C92" s="40">
        <f t="shared" si="10"/>
        <v>46001</v>
      </c>
      <c r="D92" s="53">
        <f t="shared" si="11"/>
        <v>0</v>
      </c>
      <c r="E92" s="53">
        <f t="shared" si="7"/>
        <v>0</v>
      </c>
      <c r="F92" s="53">
        <f t="shared" si="12"/>
        <v>0</v>
      </c>
      <c r="G92" s="26" t="str">
        <f t="shared" si="2"/>
        <v>1</v>
      </c>
      <c r="H92" s="54">
        <f t="shared" si="8"/>
        <v>0</v>
      </c>
      <c r="I92" s="55">
        <f t="shared" si="3"/>
        <v>0</v>
      </c>
      <c r="J92" s="56">
        <f t="shared" si="4"/>
        <v>0</v>
      </c>
      <c r="K92" s="56">
        <f t="shared" si="5"/>
        <v>0</v>
      </c>
      <c r="L92" s="56">
        <f t="shared" si="6"/>
        <v>0</v>
      </c>
      <c r="M92" s="57">
        <f t="shared" si="13"/>
        <v>0</v>
      </c>
      <c r="N92" s="58">
        <f t="shared" si="9"/>
        <v>0</v>
      </c>
    </row>
    <row r="93" spans="3:14" x14ac:dyDescent="0.3">
      <c r="C93" s="40">
        <f t="shared" si="10"/>
        <v>46002</v>
      </c>
      <c r="D93" s="53">
        <f t="shared" si="11"/>
        <v>0</v>
      </c>
      <c r="E93" s="53">
        <f t="shared" si="7"/>
        <v>0</v>
      </c>
      <c r="F93" s="53">
        <f t="shared" si="12"/>
        <v>0</v>
      </c>
      <c r="G93" s="26" t="str">
        <f t="shared" si="2"/>
        <v>1</v>
      </c>
      <c r="H93" s="54">
        <f t="shared" si="8"/>
        <v>0</v>
      </c>
      <c r="I93" s="55">
        <f t="shared" si="3"/>
        <v>0</v>
      </c>
      <c r="J93" s="56">
        <f t="shared" si="4"/>
        <v>0</v>
      </c>
      <c r="K93" s="56">
        <f t="shared" si="5"/>
        <v>0</v>
      </c>
      <c r="L93" s="56">
        <f t="shared" si="6"/>
        <v>0</v>
      </c>
      <c r="M93" s="57">
        <f t="shared" si="13"/>
        <v>0</v>
      </c>
      <c r="N93" s="58">
        <f t="shared" si="9"/>
        <v>0</v>
      </c>
    </row>
    <row r="94" spans="3:14" x14ac:dyDescent="0.3">
      <c r="C94" s="40">
        <f t="shared" si="10"/>
        <v>46003</v>
      </c>
      <c r="D94" s="53">
        <f t="shared" si="11"/>
        <v>0</v>
      </c>
      <c r="E94" s="53">
        <f t="shared" si="7"/>
        <v>0</v>
      </c>
      <c r="F94" s="53">
        <f t="shared" si="12"/>
        <v>0</v>
      </c>
      <c r="G94" s="26" t="str">
        <f t="shared" si="2"/>
        <v>1</v>
      </c>
      <c r="H94" s="54">
        <f t="shared" si="8"/>
        <v>0</v>
      </c>
      <c r="I94" s="55">
        <f t="shared" si="3"/>
        <v>0</v>
      </c>
      <c r="J94" s="56">
        <f t="shared" si="4"/>
        <v>0</v>
      </c>
      <c r="K94" s="56">
        <f t="shared" si="5"/>
        <v>0</v>
      </c>
      <c r="L94" s="56">
        <f t="shared" si="6"/>
        <v>0</v>
      </c>
      <c r="M94" s="57">
        <f t="shared" si="13"/>
        <v>0</v>
      </c>
      <c r="N94" s="58">
        <f t="shared" si="9"/>
        <v>0</v>
      </c>
    </row>
    <row r="95" spans="3:14" x14ac:dyDescent="0.3">
      <c r="C95" s="40">
        <f t="shared" si="10"/>
        <v>46004</v>
      </c>
      <c r="D95" s="53">
        <f t="shared" si="11"/>
        <v>0</v>
      </c>
      <c r="E95" s="53">
        <f t="shared" si="7"/>
        <v>0</v>
      </c>
      <c r="F95" s="53">
        <f t="shared" si="12"/>
        <v>0</v>
      </c>
      <c r="G95" s="26" t="str">
        <f t="shared" si="2"/>
        <v>1</v>
      </c>
      <c r="H95" s="54">
        <f t="shared" si="8"/>
        <v>0</v>
      </c>
      <c r="I95" s="55">
        <f t="shared" si="3"/>
        <v>0</v>
      </c>
      <c r="J95" s="56">
        <f t="shared" si="4"/>
        <v>0</v>
      </c>
      <c r="K95" s="56">
        <f t="shared" si="5"/>
        <v>0</v>
      </c>
      <c r="L95" s="56">
        <f t="shared" si="6"/>
        <v>0</v>
      </c>
      <c r="M95" s="57">
        <f t="shared" si="13"/>
        <v>0</v>
      </c>
      <c r="N95" s="58">
        <f t="shared" si="9"/>
        <v>0</v>
      </c>
    </row>
    <row r="96" spans="3:14" x14ac:dyDescent="0.3">
      <c r="C96" s="40">
        <f t="shared" si="10"/>
        <v>46005</v>
      </c>
      <c r="D96" s="53">
        <f t="shared" si="11"/>
        <v>0</v>
      </c>
      <c r="E96" s="53">
        <f t="shared" si="7"/>
        <v>6.6</v>
      </c>
      <c r="F96" s="53">
        <f t="shared" si="12"/>
        <v>6.6</v>
      </c>
      <c r="G96" s="26" t="str">
        <f t="shared" si="2"/>
        <v>1</v>
      </c>
      <c r="H96" s="54">
        <f t="shared" si="8"/>
        <v>50.16</v>
      </c>
      <c r="I96" s="55">
        <f t="shared" si="3"/>
        <v>9.6783999999999999</v>
      </c>
      <c r="J96" s="56">
        <f t="shared" si="4"/>
        <v>59.8384</v>
      </c>
      <c r="K96" s="56">
        <f t="shared" si="5"/>
        <v>1.1967000000000001</v>
      </c>
      <c r="L96" s="56">
        <f t="shared" si="6"/>
        <v>61.0351</v>
      </c>
      <c r="M96" s="57">
        <f t="shared" si="13"/>
        <v>1000</v>
      </c>
      <c r="N96" s="58">
        <f t="shared" si="9"/>
        <v>938.96489999999994</v>
      </c>
    </row>
    <row r="97" spans="3:14" x14ac:dyDescent="0.3">
      <c r="C97" s="40">
        <f t="shared" si="10"/>
        <v>46006</v>
      </c>
      <c r="D97" s="53">
        <f t="shared" si="11"/>
        <v>6.6</v>
      </c>
      <c r="E97" s="53">
        <f t="shared" si="7"/>
        <v>13.899999999999999</v>
      </c>
      <c r="F97" s="53">
        <f t="shared" si="12"/>
        <v>7.2999999999999989</v>
      </c>
      <c r="G97" s="26" t="str">
        <f t="shared" si="2"/>
        <v>1</v>
      </c>
      <c r="H97" s="54">
        <f t="shared" si="8"/>
        <v>55.48</v>
      </c>
      <c r="I97" s="55">
        <f t="shared" si="3"/>
        <v>9.6783999999999999</v>
      </c>
      <c r="J97" s="56">
        <f t="shared" si="4"/>
        <v>65.1584</v>
      </c>
      <c r="K97" s="56">
        <f t="shared" si="5"/>
        <v>1.3030999999999999</v>
      </c>
      <c r="L97" s="56">
        <f t="shared" si="6"/>
        <v>66.461500000000001</v>
      </c>
      <c r="M97" s="57">
        <f t="shared" si="13"/>
        <v>0</v>
      </c>
      <c r="N97" s="58">
        <f t="shared" si="9"/>
        <v>872.50339999999994</v>
      </c>
    </row>
    <row r="98" spans="3:14" x14ac:dyDescent="0.3">
      <c r="C98" s="40">
        <f t="shared" si="10"/>
        <v>46007</v>
      </c>
      <c r="D98" s="53">
        <f t="shared" si="11"/>
        <v>13.899999999999999</v>
      </c>
      <c r="E98" s="53">
        <f t="shared" si="7"/>
        <v>21.599999999999998</v>
      </c>
      <c r="F98" s="53">
        <f t="shared" si="12"/>
        <v>7.6999999999999993</v>
      </c>
      <c r="G98" s="26" t="str">
        <f t="shared" si="2"/>
        <v>1</v>
      </c>
      <c r="H98" s="54">
        <f t="shared" si="8"/>
        <v>58.52</v>
      </c>
      <c r="I98" s="55">
        <f t="shared" si="3"/>
        <v>9.6783999999999999</v>
      </c>
      <c r="J98" s="56">
        <f t="shared" si="4"/>
        <v>68.198400000000007</v>
      </c>
      <c r="K98" s="56">
        <f t="shared" si="5"/>
        <v>1.3638999999999999</v>
      </c>
      <c r="L98" s="56">
        <f t="shared" si="6"/>
        <v>69.562299999999993</v>
      </c>
      <c r="M98" s="57">
        <f t="shared" si="13"/>
        <v>0</v>
      </c>
      <c r="N98" s="58">
        <f t="shared" si="9"/>
        <v>802.94110000000001</v>
      </c>
    </row>
    <row r="99" spans="3:14" x14ac:dyDescent="0.3">
      <c r="C99" s="40">
        <f t="shared" si="10"/>
        <v>46008</v>
      </c>
      <c r="D99" s="53">
        <f t="shared" si="11"/>
        <v>21.599999999999998</v>
      </c>
      <c r="E99" s="53">
        <f t="shared" si="7"/>
        <v>28.599999999999998</v>
      </c>
      <c r="F99" s="53">
        <f t="shared" si="12"/>
        <v>7</v>
      </c>
      <c r="G99" s="26" t="str">
        <f t="shared" si="2"/>
        <v>1</v>
      </c>
      <c r="H99" s="54">
        <f t="shared" si="8"/>
        <v>53.2</v>
      </c>
      <c r="I99" s="55">
        <f t="shared" si="3"/>
        <v>9.6783999999999999</v>
      </c>
      <c r="J99" s="56">
        <f t="shared" si="4"/>
        <v>62.878399999999999</v>
      </c>
      <c r="K99" s="56">
        <f t="shared" si="5"/>
        <v>1.2575000000000001</v>
      </c>
      <c r="L99" s="56">
        <f t="shared" si="6"/>
        <v>64.135900000000007</v>
      </c>
      <c r="M99" s="57">
        <f t="shared" si="13"/>
        <v>0</v>
      </c>
      <c r="N99" s="58">
        <f t="shared" si="9"/>
        <v>738.80520000000001</v>
      </c>
    </row>
    <row r="100" spans="3:14" x14ac:dyDescent="0.3">
      <c r="C100" s="40">
        <f t="shared" si="10"/>
        <v>46009</v>
      </c>
      <c r="D100" s="53">
        <f t="shared" si="11"/>
        <v>28.599999999999998</v>
      </c>
      <c r="E100" s="53">
        <f t="shared" si="7"/>
        <v>35.799999999999997</v>
      </c>
      <c r="F100" s="53">
        <f t="shared" si="12"/>
        <v>7.1999999999999993</v>
      </c>
      <c r="G100" s="26" t="str">
        <f t="shared" si="2"/>
        <v>1</v>
      </c>
      <c r="H100" s="54">
        <f t="shared" si="8"/>
        <v>54.72</v>
      </c>
      <c r="I100" s="55">
        <f t="shared" si="3"/>
        <v>9.6783999999999999</v>
      </c>
      <c r="J100" s="56">
        <f t="shared" si="4"/>
        <v>64.398399999999995</v>
      </c>
      <c r="K100" s="56">
        <f t="shared" si="5"/>
        <v>1.2879</v>
      </c>
      <c r="L100" s="56">
        <f t="shared" si="6"/>
        <v>65.686300000000003</v>
      </c>
      <c r="M100" s="57">
        <f t="shared" si="13"/>
        <v>0</v>
      </c>
      <c r="N100" s="58">
        <f t="shared" si="9"/>
        <v>673.11890000000005</v>
      </c>
    </row>
    <row r="101" spans="3:14" x14ac:dyDescent="0.3">
      <c r="C101" s="40">
        <f t="shared" si="10"/>
        <v>46010</v>
      </c>
      <c r="D101" s="53">
        <f t="shared" si="11"/>
        <v>35.799999999999997</v>
      </c>
      <c r="E101" s="53">
        <f t="shared" si="7"/>
        <v>42.9</v>
      </c>
      <c r="F101" s="53">
        <f t="shared" si="12"/>
        <v>7.1000000000000014</v>
      </c>
      <c r="G101" s="26" t="str">
        <f t="shared" si="2"/>
        <v>1</v>
      </c>
      <c r="H101" s="54">
        <f t="shared" si="8"/>
        <v>53.96</v>
      </c>
      <c r="I101" s="55">
        <f t="shared" si="3"/>
        <v>9.6783999999999999</v>
      </c>
      <c r="J101" s="56">
        <f t="shared" si="4"/>
        <v>63.638399999999997</v>
      </c>
      <c r="K101" s="56">
        <f t="shared" si="5"/>
        <v>1.2726999999999999</v>
      </c>
      <c r="L101" s="56">
        <f t="shared" si="6"/>
        <v>64.911100000000005</v>
      </c>
      <c r="M101" s="57">
        <f t="shared" si="13"/>
        <v>0</v>
      </c>
      <c r="N101" s="58">
        <f t="shared" si="9"/>
        <v>608.20780000000002</v>
      </c>
    </row>
    <row r="102" spans="3:14" x14ac:dyDescent="0.3">
      <c r="C102" s="40">
        <f t="shared" si="10"/>
        <v>46011</v>
      </c>
      <c r="D102" s="53">
        <f t="shared" si="11"/>
        <v>42.9</v>
      </c>
      <c r="E102" s="53">
        <f t="shared" si="7"/>
        <v>50.3</v>
      </c>
      <c r="F102" s="53">
        <f t="shared" si="12"/>
        <v>7.3999999999999986</v>
      </c>
      <c r="G102" s="26" t="str">
        <f t="shared" si="2"/>
        <v>1</v>
      </c>
      <c r="H102" s="54">
        <f t="shared" si="8"/>
        <v>56.24</v>
      </c>
      <c r="I102" s="55">
        <f t="shared" si="3"/>
        <v>9.6783999999999999</v>
      </c>
      <c r="J102" s="56">
        <f t="shared" si="4"/>
        <v>65.918400000000005</v>
      </c>
      <c r="K102" s="56">
        <f t="shared" si="5"/>
        <v>1.3183</v>
      </c>
      <c r="L102" s="56">
        <f t="shared" si="6"/>
        <v>67.236699999999999</v>
      </c>
      <c r="M102" s="57">
        <f t="shared" si="13"/>
        <v>0</v>
      </c>
      <c r="N102" s="58">
        <f t="shared" si="9"/>
        <v>540.97109999999998</v>
      </c>
    </row>
    <row r="103" spans="3:14" x14ac:dyDescent="0.3">
      <c r="C103" s="40">
        <f t="shared" si="10"/>
        <v>46012</v>
      </c>
      <c r="D103" s="53">
        <f t="shared" si="11"/>
        <v>50.3</v>
      </c>
      <c r="E103" s="53">
        <f t="shared" si="7"/>
        <v>56.9</v>
      </c>
      <c r="F103" s="53">
        <f t="shared" si="12"/>
        <v>6.6000000000000014</v>
      </c>
      <c r="G103" s="26" t="str">
        <f>IF(E103&lt;=$E$33,"1","2")</f>
        <v>1</v>
      </c>
      <c r="H103" s="54">
        <f t="shared" si="8"/>
        <v>50.16</v>
      </c>
      <c r="I103" s="55">
        <f t="shared" si="3"/>
        <v>9.6783999999999999</v>
      </c>
      <c r="J103" s="56">
        <f t="shared" si="4"/>
        <v>59.8384</v>
      </c>
      <c r="K103" s="56">
        <f t="shared" si="5"/>
        <v>1.1967000000000001</v>
      </c>
      <c r="L103" s="56">
        <f t="shared" si="6"/>
        <v>61.0351</v>
      </c>
      <c r="M103" s="57">
        <f t="shared" si="13"/>
        <v>0</v>
      </c>
      <c r="N103" s="58">
        <f t="shared" si="9"/>
        <v>479.93599999999998</v>
      </c>
    </row>
    <row r="104" spans="3:14" x14ac:dyDescent="0.3">
      <c r="C104" s="40">
        <f t="shared" si="10"/>
        <v>46013</v>
      </c>
      <c r="D104" s="53">
        <f t="shared" si="11"/>
        <v>56.9</v>
      </c>
      <c r="E104" s="53">
        <f t="shared" si="7"/>
        <v>63.9</v>
      </c>
      <c r="F104" s="53">
        <f t="shared" si="12"/>
        <v>7</v>
      </c>
      <c r="G104" s="26" t="str">
        <f t="shared" ref="G104:G113" si="14">IF(E104&lt;=$E$33,"1","2")</f>
        <v>1</v>
      </c>
      <c r="H104" s="54">
        <f t="shared" si="8"/>
        <v>53.2</v>
      </c>
      <c r="I104" s="55">
        <f t="shared" si="3"/>
        <v>9.6783999999999999</v>
      </c>
      <c r="J104" s="56">
        <f t="shared" si="4"/>
        <v>62.878399999999999</v>
      </c>
      <c r="K104" s="56">
        <f t="shared" si="5"/>
        <v>1.2575000000000001</v>
      </c>
      <c r="L104" s="56">
        <f t="shared" si="6"/>
        <v>64.135900000000007</v>
      </c>
      <c r="M104" s="57">
        <f t="shared" si="13"/>
        <v>0</v>
      </c>
      <c r="N104" s="58">
        <f t="shared" si="9"/>
        <v>415.80009999999999</v>
      </c>
    </row>
    <row r="105" spans="3:14" x14ac:dyDescent="0.3">
      <c r="C105" s="40">
        <f t="shared" si="10"/>
        <v>46014</v>
      </c>
      <c r="D105" s="53">
        <f t="shared" si="11"/>
        <v>63.9</v>
      </c>
      <c r="E105" s="53">
        <f t="shared" si="7"/>
        <v>71.2</v>
      </c>
      <c r="F105" s="53">
        <f t="shared" si="12"/>
        <v>7.3000000000000043</v>
      </c>
      <c r="G105" s="26" t="str">
        <f t="shared" si="14"/>
        <v>1</v>
      </c>
      <c r="H105" s="54">
        <f t="shared" si="8"/>
        <v>55.48</v>
      </c>
      <c r="I105" s="55">
        <f t="shared" si="3"/>
        <v>9.6783999999999999</v>
      </c>
      <c r="J105" s="56">
        <f t="shared" si="4"/>
        <v>65.1584</v>
      </c>
      <c r="K105" s="56">
        <f t="shared" si="5"/>
        <v>1.3030999999999999</v>
      </c>
      <c r="L105" s="56">
        <f t="shared" si="6"/>
        <v>66.461500000000001</v>
      </c>
      <c r="M105" s="57">
        <f t="shared" si="13"/>
        <v>0</v>
      </c>
      <c r="N105" s="58">
        <f t="shared" si="9"/>
        <v>349.33859999999999</v>
      </c>
    </row>
    <row r="106" spans="3:14" x14ac:dyDescent="0.3">
      <c r="C106" s="40">
        <f t="shared" si="10"/>
        <v>46015</v>
      </c>
      <c r="D106" s="53">
        <f t="shared" si="11"/>
        <v>71.2</v>
      </c>
      <c r="E106" s="53">
        <f t="shared" si="7"/>
        <v>78.7</v>
      </c>
      <c r="F106" s="53">
        <f t="shared" si="12"/>
        <v>7.5</v>
      </c>
      <c r="G106" s="26" t="str">
        <f t="shared" si="14"/>
        <v>1</v>
      </c>
      <c r="H106" s="54">
        <f t="shared" si="8"/>
        <v>57</v>
      </c>
      <c r="I106" s="55">
        <f t="shared" si="3"/>
        <v>9.6783999999999999</v>
      </c>
      <c r="J106" s="56">
        <f t="shared" si="4"/>
        <v>66.678399999999996</v>
      </c>
      <c r="K106" s="56">
        <f t="shared" si="5"/>
        <v>1.3334999999999999</v>
      </c>
      <c r="L106" s="56">
        <f t="shared" si="6"/>
        <v>68.011899999999997</v>
      </c>
      <c r="M106" s="57">
        <f t="shared" si="13"/>
        <v>0</v>
      </c>
      <c r="N106" s="58">
        <f t="shared" si="9"/>
        <v>281.32669999999996</v>
      </c>
    </row>
    <row r="107" spans="3:14" x14ac:dyDescent="0.3">
      <c r="C107" s="40">
        <f t="shared" si="10"/>
        <v>46016</v>
      </c>
      <c r="D107" s="53">
        <f t="shared" si="11"/>
        <v>78.7</v>
      </c>
      <c r="E107" s="53">
        <f t="shared" si="7"/>
        <v>84.9</v>
      </c>
      <c r="F107" s="53">
        <f t="shared" si="12"/>
        <v>6.2000000000000028</v>
      </c>
      <c r="G107" s="26" t="str">
        <f t="shared" si="14"/>
        <v>1</v>
      </c>
      <c r="H107" s="54">
        <f t="shared" si="8"/>
        <v>47.12</v>
      </c>
      <c r="I107" s="55">
        <f t="shared" si="3"/>
        <v>9.6783999999999999</v>
      </c>
      <c r="J107" s="56">
        <f t="shared" si="4"/>
        <v>56.798400000000001</v>
      </c>
      <c r="K107" s="56">
        <f t="shared" si="5"/>
        <v>1.1358999999999999</v>
      </c>
      <c r="L107" s="56">
        <f t="shared" si="6"/>
        <v>57.9343</v>
      </c>
      <c r="M107" s="57">
        <f t="shared" si="13"/>
        <v>0</v>
      </c>
      <c r="N107" s="58">
        <f t="shared" si="9"/>
        <v>223.39239999999995</v>
      </c>
    </row>
    <row r="108" spans="3:14" x14ac:dyDescent="0.3">
      <c r="C108" s="40">
        <f t="shared" si="10"/>
        <v>46017</v>
      </c>
      <c r="D108" s="53">
        <f t="shared" si="11"/>
        <v>84.9</v>
      </c>
      <c r="E108" s="53">
        <f t="shared" si="7"/>
        <v>92</v>
      </c>
      <c r="F108" s="53">
        <f t="shared" si="12"/>
        <v>7.0999999999999943</v>
      </c>
      <c r="G108" s="26" t="str">
        <f t="shared" si="14"/>
        <v>2</v>
      </c>
      <c r="H108" s="54">
        <f t="shared" si="8"/>
        <v>58.93</v>
      </c>
      <c r="I108" s="55">
        <f t="shared" si="3"/>
        <v>9.6783999999999999</v>
      </c>
      <c r="J108" s="56">
        <f t="shared" si="4"/>
        <v>68.608400000000003</v>
      </c>
      <c r="K108" s="56">
        <f t="shared" si="5"/>
        <v>1.3721000000000001</v>
      </c>
      <c r="L108" s="56">
        <f t="shared" si="6"/>
        <v>69.980500000000006</v>
      </c>
      <c r="M108" s="57">
        <f t="shared" si="13"/>
        <v>0</v>
      </c>
      <c r="N108" s="58">
        <f t="shared" si="9"/>
        <v>153.41189999999995</v>
      </c>
    </row>
    <row r="109" spans="3:14" x14ac:dyDescent="0.3">
      <c r="C109" s="40">
        <f t="shared" si="10"/>
        <v>46018</v>
      </c>
      <c r="D109" s="53">
        <f t="shared" si="11"/>
        <v>92</v>
      </c>
      <c r="E109" s="53">
        <f t="shared" si="7"/>
        <v>98.8</v>
      </c>
      <c r="F109" s="53">
        <f t="shared" si="12"/>
        <v>6.7999999999999972</v>
      </c>
      <c r="G109" s="26" t="str">
        <f t="shared" si="14"/>
        <v>2</v>
      </c>
      <c r="H109" s="54">
        <f t="shared" si="8"/>
        <v>56.44</v>
      </c>
      <c r="I109" s="55">
        <f t="shared" si="3"/>
        <v>9.6783999999999999</v>
      </c>
      <c r="J109" s="56">
        <f t="shared" si="4"/>
        <v>66.118399999999994</v>
      </c>
      <c r="K109" s="56">
        <f t="shared" si="5"/>
        <v>1.3223</v>
      </c>
      <c r="L109" s="56">
        <f t="shared" si="6"/>
        <v>67.440700000000007</v>
      </c>
      <c r="M109" s="57">
        <f t="shared" si="13"/>
        <v>0</v>
      </c>
      <c r="N109" s="58">
        <f t="shared" si="9"/>
        <v>85.971199999999939</v>
      </c>
    </row>
    <row r="110" spans="3:14" x14ac:dyDescent="0.3">
      <c r="C110" s="40">
        <f t="shared" si="10"/>
        <v>46019</v>
      </c>
      <c r="D110" s="53">
        <f t="shared" si="11"/>
        <v>98.8</v>
      </c>
      <c r="E110" s="53">
        <f t="shared" si="7"/>
        <v>106</v>
      </c>
      <c r="F110" s="53">
        <f t="shared" si="12"/>
        <v>7.2000000000000028</v>
      </c>
      <c r="G110" s="26" t="str">
        <f t="shared" si="14"/>
        <v>2</v>
      </c>
      <c r="H110" s="54">
        <f t="shared" si="8"/>
        <v>59.76</v>
      </c>
      <c r="I110" s="55">
        <f t="shared" si="3"/>
        <v>9.6783999999999999</v>
      </c>
      <c r="J110" s="56">
        <f t="shared" si="4"/>
        <v>69.438400000000001</v>
      </c>
      <c r="K110" s="56">
        <f t="shared" si="5"/>
        <v>1.3887</v>
      </c>
      <c r="L110" s="56">
        <f t="shared" si="6"/>
        <v>70.827100000000002</v>
      </c>
      <c r="M110" s="57">
        <f t="shared" si="13"/>
        <v>0</v>
      </c>
      <c r="N110" s="58">
        <f t="shared" si="9"/>
        <v>15.144099999999938</v>
      </c>
    </row>
    <row r="111" spans="3:14" x14ac:dyDescent="0.3">
      <c r="C111" s="40">
        <f t="shared" si="10"/>
        <v>46020</v>
      </c>
      <c r="D111" s="53">
        <f t="shared" si="11"/>
        <v>106</v>
      </c>
      <c r="E111" s="53">
        <f t="shared" si="7"/>
        <v>113</v>
      </c>
      <c r="F111" s="53">
        <f t="shared" si="12"/>
        <v>7</v>
      </c>
      <c r="G111" s="26" t="str">
        <f t="shared" si="14"/>
        <v>2</v>
      </c>
      <c r="H111" s="54">
        <f t="shared" si="8"/>
        <v>58.1</v>
      </c>
      <c r="I111" s="55">
        <f t="shared" si="3"/>
        <v>9.6783999999999999</v>
      </c>
      <c r="J111" s="56">
        <f t="shared" si="4"/>
        <v>67.778400000000005</v>
      </c>
      <c r="K111" s="56">
        <f t="shared" si="5"/>
        <v>1.3554999999999999</v>
      </c>
      <c r="L111" s="56">
        <f t="shared" si="6"/>
        <v>69.133899999999997</v>
      </c>
      <c r="M111" s="57">
        <f t="shared" si="13"/>
        <v>0</v>
      </c>
      <c r="N111" s="58">
        <f t="shared" si="9"/>
        <v>-53.989800000000059</v>
      </c>
    </row>
    <row r="112" spans="3:14" x14ac:dyDescent="0.3">
      <c r="C112" s="40">
        <f t="shared" si="10"/>
        <v>46021</v>
      </c>
      <c r="D112" s="53">
        <f t="shared" si="11"/>
        <v>113</v>
      </c>
      <c r="E112" s="53">
        <f t="shared" si="7"/>
        <v>120.1</v>
      </c>
      <c r="F112" s="53">
        <f t="shared" si="12"/>
        <v>7.0999999999999943</v>
      </c>
      <c r="G112" s="26" t="str">
        <f t="shared" si="14"/>
        <v>2</v>
      </c>
      <c r="H112" s="54">
        <f t="shared" si="8"/>
        <v>58.93</v>
      </c>
      <c r="I112" s="55">
        <f t="shared" si="3"/>
        <v>9.6783999999999999</v>
      </c>
      <c r="J112" s="56">
        <f t="shared" si="4"/>
        <v>68.608400000000003</v>
      </c>
      <c r="K112" s="56">
        <f t="shared" si="5"/>
        <v>1.3721000000000001</v>
      </c>
      <c r="L112" s="56">
        <f t="shared" si="6"/>
        <v>69.980500000000006</v>
      </c>
      <c r="M112" s="57">
        <f t="shared" si="13"/>
        <v>0</v>
      </c>
      <c r="N112" s="58">
        <f t="shared" si="9"/>
        <v>-123.97030000000007</v>
      </c>
    </row>
    <row r="113" spans="3:14" x14ac:dyDescent="0.3">
      <c r="C113" s="40">
        <f t="shared" si="10"/>
        <v>46022</v>
      </c>
      <c r="D113" s="53">
        <f t="shared" si="11"/>
        <v>120.1</v>
      </c>
      <c r="E113" s="53">
        <f t="shared" si="7"/>
        <v>127.69999999999999</v>
      </c>
      <c r="F113" s="53">
        <f t="shared" si="12"/>
        <v>7.5999999999999943</v>
      </c>
      <c r="G113" s="26" t="str">
        <f t="shared" si="14"/>
        <v>2</v>
      </c>
      <c r="H113" s="54">
        <f t="shared" si="8"/>
        <v>63.08</v>
      </c>
      <c r="I113" s="55">
        <f t="shared" si="3"/>
        <v>9.6783999999999999</v>
      </c>
      <c r="J113" s="56">
        <f t="shared" si="4"/>
        <v>72.758399999999995</v>
      </c>
      <c r="K113" s="56">
        <f t="shared" si="5"/>
        <v>1.4551000000000001</v>
      </c>
      <c r="L113" s="56">
        <f t="shared" si="6"/>
        <v>74.213499999999996</v>
      </c>
      <c r="M113" s="57">
        <f t="shared" si="13"/>
        <v>0</v>
      </c>
      <c r="N113" s="58">
        <f t="shared" si="9"/>
        <v>-198.18380000000008</v>
      </c>
    </row>
    <row r="114" spans="3:14" x14ac:dyDescent="0.3">
      <c r="C114" s="40"/>
      <c r="D114" s="53"/>
      <c r="E114" s="53"/>
      <c r="F114" s="53"/>
      <c r="G114" s="26"/>
      <c r="H114" s="54"/>
      <c r="I114" s="55"/>
      <c r="J114" s="56"/>
      <c r="K114" s="56"/>
      <c r="L114" s="56"/>
      <c r="M114" s="57"/>
      <c r="N114" s="58"/>
    </row>
    <row r="115" spans="3:14" x14ac:dyDescent="0.3">
      <c r="C115" s="40"/>
    </row>
    <row r="116" spans="3:14" x14ac:dyDescent="0.3">
      <c r="C116" s="40"/>
    </row>
    <row r="117" spans="3:14" x14ac:dyDescent="0.3">
      <c r="C117" s="40"/>
    </row>
    <row r="118" spans="3:14" x14ac:dyDescent="0.3">
      <c r="C118" s="40"/>
    </row>
    <row r="119" spans="3:14" x14ac:dyDescent="0.3">
      <c r="C119" s="40"/>
    </row>
    <row r="120" spans="3:14" x14ac:dyDescent="0.3">
      <c r="C120" s="40"/>
    </row>
    <row r="121" spans="3:14" x14ac:dyDescent="0.3">
      <c r="C121" s="40"/>
    </row>
    <row r="122" spans="3:14" x14ac:dyDescent="0.3">
      <c r="C122" s="40"/>
    </row>
    <row r="123" spans="3:14" x14ac:dyDescent="0.3">
      <c r="C123" s="40"/>
    </row>
    <row r="124" spans="3:14" x14ac:dyDescent="0.3">
      <c r="C124" s="40"/>
    </row>
    <row r="125" spans="3:14" x14ac:dyDescent="0.3">
      <c r="C125" s="40"/>
    </row>
    <row r="126" spans="3:14" x14ac:dyDescent="0.3">
      <c r="C126" s="40"/>
    </row>
    <row r="127" spans="3:14" x14ac:dyDescent="0.3">
      <c r="C127" s="40"/>
    </row>
    <row r="128" spans="3:14" x14ac:dyDescent="0.3">
      <c r="C128" s="40"/>
    </row>
    <row r="129" spans="3:3" x14ac:dyDescent="0.3">
      <c r="C129" s="40"/>
    </row>
    <row r="130" spans="3:3" x14ac:dyDescent="0.3">
      <c r="C130" s="40"/>
    </row>
    <row r="131" spans="3:3" x14ac:dyDescent="0.3">
      <c r="C131" s="40"/>
    </row>
  </sheetData>
  <mergeCells count="1">
    <mergeCell ref="C2:J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2.3 NonProfit Public(LT)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Narayana</dc:creator>
  <cp:lastModifiedBy>Sumitbhai Vadaviya</cp:lastModifiedBy>
  <dcterms:created xsi:type="dcterms:W3CDTF">2026-01-15T14:12:40Z</dcterms:created>
  <dcterms:modified xsi:type="dcterms:W3CDTF">2026-01-28T09:26:49Z</dcterms:modified>
</cp:coreProperties>
</file>