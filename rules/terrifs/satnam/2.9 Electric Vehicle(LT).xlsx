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rutusoft\energy-tariff-calculation-engine-service\rules\terrifs\satnam\"/>
    </mc:Choice>
  </mc:AlternateContent>
  <xr:revisionPtr revIDLastSave="0" documentId="8_{58CDAA71-9869-412A-9C2F-1CF6780657FF}" xr6:coauthVersionLast="47" xr6:coauthVersionMax="47" xr10:uidLastSave="{00000000-0000-0000-0000-000000000000}"/>
  <bookViews>
    <workbookView xWindow="-108" yWindow="-108" windowWidth="23256" windowHeight="12456" xr2:uid="{65BB3B4B-A732-453E-A5CB-6AC17379E9F1}"/>
  </bookViews>
  <sheets>
    <sheet name="2.9 Electric Vehicle(LT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0" i="1" l="1"/>
  <c r="G70" i="1"/>
  <c r="M69" i="1"/>
  <c r="E64" i="1"/>
  <c r="C34" i="1"/>
  <c r="C35" i="1" s="1"/>
  <c r="C33" i="1"/>
  <c r="C70" i="1" s="1"/>
  <c r="E25" i="1"/>
  <c r="D20" i="1"/>
  <c r="D19" i="1"/>
  <c r="D18" i="1"/>
  <c r="D17" i="1"/>
  <c r="C36" i="1" l="1"/>
  <c r="D35" i="1"/>
  <c r="I70" i="1"/>
  <c r="C71" i="1"/>
  <c r="L70" i="1"/>
  <c r="H70" i="1"/>
  <c r="D34" i="1"/>
  <c r="E26" i="1"/>
  <c r="E27" i="1" s="1"/>
  <c r="D33" i="1"/>
  <c r="J70" i="1" l="1"/>
  <c r="K70" i="1" s="1"/>
  <c r="D36" i="1"/>
  <c r="C37" i="1"/>
  <c r="E70" i="1"/>
  <c r="M71" i="1"/>
  <c r="L71" i="1"/>
  <c r="G71" i="1"/>
  <c r="I71" i="1" s="1"/>
  <c r="C72" i="1"/>
  <c r="H71" i="1"/>
  <c r="E71" i="1" l="1"/>
  <c r="F70" i="1"/>
  <c r="D71" i="1"/>
  <c r="C38" i="1"/>
  <c r="D37" i="1"/>
  <c r="G72" i="1"/>
  <c r="I72" i="1" s="1"/>
  <c r="C73" i="1"/>
  <c r="M72" i="1"/>
  <c r="L72" i="1"/>
  <c r="H72" i="1"/>
  <c r="J71" i="1"/>
  <c r="K71" i="1" s="1"/>
  <c r="F71" i="1" l="1"/>
  <c r="D72" i="1"/>
  <c r="E72" i="1"/>
  <c r="H73" i="1"/>
  <c r="G73" i="1"/>
  <c r="I73" i="1" s="1"/>
  <c r="C74" i="1"/>
  <c r="M73" i="1"/>
  <c r="L73" i="1"/>
  <c r="J72" i="1"/>
  <c r="K72" i="1" s="1"/>
  <c r="C39" i="1"/>
  <c r="D38" i="1"/>
  <c r="D39" i="1" l="1"/>
  <c r="C40" i="1"/>
  <c r="H74" i="1"/>
  <c r="M74" i="1"/>
  <c r="C75" i="1"/>
  <c r="L74" i="1"/>
  <c r="G74" i="1"/>
  <c r="I74" i="1" s="1"/>
  <c r="J73" i="1"/>
  <c r="K73" i="1" s="1"/>
  <c r="F72" i="1"/>
  <c r="E73" i="1"/>
  <c r="D73" i="1"/>
  <c r="D74" i="1" l="1"/>
  <c r="F73" i="1"/>
  <c r="E74" i="1"/>
  <c r="J74" i="1"/>
  <c r="K74" i="1" s="1"/>
  <c r="G75" i="1"/>
  <c r="M75" i="1"/>
  <c r="L75" i="1"/>
  <c r="C76" i="1"/>
  <c r="H75" i="1"/>
  <c r="C41" i="1"/>
  <c r="D40" i="1"/>
  <c r="C42" i="1" l="1"/>
  <c r="D41" i="1"/>
  <c r="H76" i="1"/>
  <c r="M76" i="1"/>
  <c r="C77" i="1"/>
  <c r="L76" i="1"/>
  <c r="G76" i="1"/>
  <c r="I76" i="1" s="1"/>
  <c r="F74" i="1"/>
  <c r="E75" i="1"/>
  <c r="D75" i="1"/>
  <c r="I75" i="1"/>
  <c r="J75" i="1" l="1"/>
  <c r="K75" i="1"/>
  <c r="E76" i="1"/>
  <c r="D76" i="1"/>
  <c r="F75" i="1"/>
  <c r="J76" i="1"/>
  <c r="K76" i="1" s="1"/>
  <c r="L77" i="1"/>
  <c r="G77" i="1"/>
  <c r="C78" i="1"/>
  <c r="M77" i="1"/>
  <c r="H77" i="1"/>
  <c r="D42" i="1"/>
  <c r="C43" i="1"/>
  <c r="M78" i="1" l="1"/>
  <c r="L78" i="1"/>
  <c r="H78" i="1"/>
  <c r="G78" i="1"/>
  <c r="I78" i="1" s="1"/>
  <c r="C79" i="1"/>
  <c r="F76" i="1"/>
  <c r="D77" i="1"/>
  <c r="E77" i="1"/>
  <c r="C44" i="1"/>
  <c r="D43" i="1"/>
  <c r="I77" i="1"/>
  <c r="J77" i="1" l="1"/>
  <c r="K77" i="1" s="1"/>
  <c r="J78" i="1"/>
  <c r="K78" i="1"/>
  <c r="C45" i="1"/>
  <c r="D44" i="1"/>
  <c r="D78" i="1"/>
  <c r="F77" i="1"/>
  <c r="E78" i="1"/>
  <c r="C80" i="1"/>
  <c r="M79" i="1"/>
  <c r="H79" i="1"/>
  <c r="G79" i="1"/>
  <c r="L79" i="1"/>
  <c r="C81" i="1" l="1"/>
  <c r="L80" i="1"/>
  <c r="H80" i="1"/>
  <c r="G80" i="1"/>
  <c r="I80" i="1" s="1"/>
  <c r="M80" i="1"/>
  <c r="D79" i="1"/>
  <c r="F78" i="1"/>
  <c r="E79" i="1"/>
  <c r="D45" i="1"/>
  <c r="C46" i="1"/>
  <c r="I79" i="1"/>
  <c r="J80" i="1" l="1"/>
  <c r="K80" i="1"/>
  <c r="J79" i="1"/>
  <c r="K79" i="1" s="1"/>
  <c r="C47" i="1"/>
  <c r="D46" i="1"/>
  <c r="F79" i="1"/>
  <c r="E80" i="1"/>
  <c r="D80" i="1"/>
  <c r="M81" i="1"/>
  <c r="H81" i="1"/>
  <c r="G81" i="1"/>
  <c r="I81" i="1" s="1"/>
  <c r="L81" i="1"/>
  <c r="C82" i="1"/>
  <c r="J81" i="1" l="1"/>
  <c r="K81" i="1" s="1"/>
  <c r="D81" i="1"/>
  <c r="F80" i="1"/>
  <c r="E81" i="1"/>
  <c r="C48" i="1"/>
  <c r="D47" i="1"/>
  <c r="C83" i="1"/>
  <c r="L82" i="1"/>
  <c r="H82" i="1"/>
  <c r="G82" i="1"/>
  <c r="I82" i="1" s="1"/>
  <c r="M82" i="1"/>
  <c r="E82" i="1" l="1"/>
  <c r="D82" i="1"/>
  <c r="F81" i="1"/>
  <c r="L83" i="1"/>
  <c r="H83" i="1"/>
  <c r="G83" i="1"/>
  <c r="I83" i="1" s="1"/>
  <c r="C84" i="1"/>
  <c r="C49" i="1"/>
  <c r="D48" i="1"/>
  <c r="J82" i="1"/>
  <c r="K82" i="1" s="1"/>
  <c r="C50" i="1" l="1"/>
  <c r="D49" i="1"/>
  <c r="G84" i="1"/>
  <c r="C85" i="1"/>
  <c r="L84" i="1"/>
  <c r="H84" i="1"/>
  <c r="J83" i="1"/>
  <c r="K83" i="1" s="1"/>
  <c r="M83" i="1" s="1"/>
  <c r="E83" i="1"/>
  <c r="D83" i="1"/>
  <c r="F82" i="1"/>
  <c r="F83" i="1" l="1"/>
  <c r="D84" i="1"/>
  <c r="E84" i="1"/>
  <c r="I84" i="1"/>
  <c r="C51" i="1"/>
  <c r="D50" i="1"/>
  <c r="H85" i="1"/>
  <c r="G85" i="1"/>
  <c r="L85" i="1"/>
  <c r="C86" i="1"/>
  <c r="H86" i="1" l="1"/>
  <c r="C87" i="1"/>
  <c r="L86" i="1"/>
  <c r="G86" i="1"/>
  <c r="I86" i="1" s="1"/>
  <c r="I85" i="1"/>
  <c r="F84" i="1"/>
  <c r="E85" i="1"/>
  <c r="D85" i="1"/>
  <c r="J84" i="1"/>
  <c r="K84" i="1" s="1"/>
  <c r="M84" i="1" s="1"/>
  <c r="D51" i="1"/>
  <c r="C52" i="1"/>
  <c r="D86" i="1" l="1"/>
  <c r="F85" i="1"/>
  <c r="E86" i="1"/>
  <c r="J85" i="1"/>
  <c r="K85" i="1" s="1"/>
  <c r="M85" i="1" s="1"/>
  <c r="M86" i="1" s="1"/>
  <c r="G87" i="1"/>
  <c r="C88" i="1"/>
  <c r="L87" i="1"/>
  <c r="H87" i="1"/>
  <c r="K86" i="1"/>
  <c r="J86" i="1"/>
  <c r="C53" i="1"/>
  <c r="D52" i="1"/>
  <c r="H88" i="1" l="1"/>
  <c r="C89" i="1"/>
  <c r="G88" i="1"/>
  <c r="I88" i="1" s="1"/>
  <c r="L88" i="1"/>
  <c r="F86" i="1"/>
  <c r="E87" i="1"/>
  <c r="D87" i="1"/>
  <c r="C54" i="1"/>
  <c r="D53" i="1"/>
  <c r="I87" i="1"/>
  <c r="C55" i="1" l="1"/>
  <c r="D54" i="1"/>
  <c r="E88" i="1"/>
  <c r="D88" i="1"/>
  <c r="F87" i="1"/>
  <c r="J87" i="1"/>
  <c r="K87" i="1"/>
  <c r="M87" i="1" s="1"/>
  <c r="L89" i="1"/>
  <c r="G89" i="1"/>
  <c r="C90" i="1"/>
  <c r="H89" i="1"/>
  <c r="J88" i="1"/>
  <c r="K88" i="1" s="1"/>
  <c r="I89" i="1" l="1"/>
  <c r="M88" i="1"/>
  <c r="F88" i="1"/>
  <c r="D89" i="1"/>
  <c r="E89" i="1"/>
  <c r="L90" i="1"/>
  <c r="H90" i="1"/>
  <c r="G90" i="1"/>
  <c r="I90" i="1" s="1"/>
  <c r="C91" i="1"/>
  <c r="C56" i="1"/>
  <c r="D55" i="1"/>
  <c r="C57" i="1" l="1"/>
  <c r="D56" i="1"/>
  <c r="C92" i="1"/>
  <c r="H91" i="1"/>
  <c r="G91" i="1"/>
  <c r="I91" i="1" s="1"/>
  <c r="L91" i="1"/>
  <c r="D90" i="1"/>
  <c r="F89" i="1"/>
  <c r="E90" i="1"/>
  <c r="M89" i="1"/>
  <c r="J90" i="1"/>
  <c r="K90" i="1" s="1"/>
  <c r="K89" i="1"/>
  <c r="J89" i="1"/>
  <c r="M90" i="1" l="1"/>
  <c r="J91" i="1"/>
  <c r="K91" i="1" s="1"/>
  <c r="F90" i="1"/>
  <c r="E91" i="1"/>
  <c r="D91" i="1"/>
  <c r="C93" i="1"/>
  <c r="L92" i="1"/>
  <c r="H92" i="1"/>
  <c r="G92" i="1"/>
  <c r="I92" i="1" s="1"/>
  <c r="D57" i="1"/>
  <c r="C58" i="1"/>
  <c r="H93" i="1" l="1"/>
  <c r="G93" i="1"/>
  <c r="I93" i="1" s="1"/>
  <c r="C94" i="1"/>
  <c r="L93" i="1"/>
  <c r="F91" i="1"/>
  <c r="E92" i="1"/>
  <c r="D92" i="1"/>
  <c r="J92" i="1"/>
  <c r="K92" i="1" s="1"/>
  <c r="D58" i="1"/>
  <c r="C59" i="1"/>
  <c r="M91" i="1"/>
  <c r="D93" i="1" l="1"/>
  <c r="F92" i="1"/>
  <c r="E93" i="1"/>
  <c r="C95" i="1"/>
  <c r="L94" i="1"/>
  <c r="H94" i="1"/>
  <c r="G94" i="1"/>
  <c r="I94" i="1" s="1"/>
  <c r="J93" i="1"/>
  <c r="K93" i="1" s="1"/>
  <c r="C60" i="1"/>
  <c r="D59" i="1"/>
  <c r="M92" i="1"/>
  <c r="J94" i="1" l="1"/>
  <c r="K94" i="1" s="1"/>
  <c r="L95" i="1"/>
  <c r="H95" i="1"/>
  <c r="C96" i="1"/>
  <c r="G95" i="1"/>
  <c r="I95" i="1" s="1"/>
  <c r="E94" i="1"/>
  <c r="D94" i="1"/>
  <c r="F93" i="1"/>
  <c r="C61" i="1"/>
  <c r="D60" i="1"/>
  <c r="M93" i="1"/>
  <c r="J95" i="1" l="1"/>
  <c r="K95" i="1" s="1"/>
  <c r="G96" i="1"/>
  <c r="C97" i="1"/>
  <c r="L96" i="1"/>
  <c r="H96" i="1"/>
  <c r="C62" i="1"/>
  <c r="D61" i="1"/>
  <c r="E95" i="1"/>
  <c r="F94" i="1"/>
  <c r="D95" i="1"/>
  <c r="M94" i="1"/>
  <c r="C63" i="1" l="1"/>
  <c r="D63" i="1" s="1"/>
  <c r="D64" i="1" s="1"/>
  <c r="D62" i="1"/>
  <c r="F95" i="1"/>
  <c r="D96" i="1"/>
  <c r="E96" i="1"/>
  <c r="H97" i="1"/>
  <c r="G97" i="1"/>
  <c r="I97" i="1" s="1"/>
  <c r="C98" i="1"/>
  <c r="L97" i="1"/>
  <c r="I96" i="1"/>
  <c r="M95" i="1"/>
  <c r="H98" i="1" l="1"/>
  <c r="L98" i="1"/>
  <c r="C99" i="1"/>
  <c r="G98" i="1"/>
  <c r="I98" i="1" s="1"/>
  <c r="J97" i="1"/>
  <c r="K97" i="1" s="1"/>
  <c r="J96" i="1"/>
  <c r="K96" i="1" s="1"/>
  <c r="M96" i="1" s="1"/>
  <c r="M97" i="1" s="1"/>
  <c r="F96" i="1"/>
  <c r="E97" i="1"/>
  <c r="D97" i="1"/>
  <c r="J98" i="1" l="1"/>
  <c r="K98" i="1" s="1"/>
  <c r="M98" i="1" s="1"/>
  <c r="G99" i="1"/>
  <c r="C100" i="1"/>
  <c r="L99" i="1"/>
  <c r="H99" i="1"/>
  <c r="D98" i="1"/>
  <c r="E98" i="1"/>
  <c r="F97" i="1"/>
  <c r="H100" i="1" l="1"/>
  <c r="L100" i="1"/>
  <c r="G100" i="1"/>
  <c r="I100" i="1" s="1"/>
  <c r="I99" i="1"/>
  <c r="F98" i="1"/>
  <c r="E99" i="1"/>
  <c r="D99" i="1"/>
  <c r="J99" i="1" l="1"/>
  <c r="K99" i="1"/>
  <c r="M99" i="1" s="1"/>
  <c r="J100" i="1"/>
  <c r="K100" i="1" s="1"/>
  <c r="E100" i="1"/>
  <c r="D100" i="1"/>
  <c r="F99" i="1"/>
  <c r="F100" i="1" l="1"/>
  <c r="M100" i="1"/>
</calcChain>
</file>

<file path=xl/sharedStrings.xml><?xml version="1.0" encoding="utf-8"?>
<sst xmlns="http://schemas.openxmlformats.org/spreadsheetml/2006/main" count="88" uniqueCount="85">
  <si>
    <t>LT Category – 9: Electric Vehicle Charging Stations</t>
  </si>
  <si>
    <t xml:space="preserve">Applicability: </t>
  </si>
  <si>
    <t>This tariff is applicable to those consumers who use electricity installations exclusively for charging Electric Vehicles (i.e., two-wheeler to fourwheeler).The consumer shall obtain a separate service connection for this purpose.</t>
  </si>
  <si>
    <t>LT Category – 9: Electric Vehicle Charging Stations Tariff Structure</t>
  </si>
  <si>
    <t>Energy Charges</t>
  </si>
  <si>
    <t xml:space="preserve">For all units (kWh) </t>
  </si>
  <si>
    <t>per kwh</t>
  </si>
  <si>
    <t>Fixed Charges</t>
  </si>
  <si>
    <t>per month per kW of contracted load</t>
  </si>
  <si>
    <t>Steps to Calculate Daily Charges for One Month</t>
  </si>
  <si>
    <t>STEP 1:</t>
  </si>
  <si>
    <t>Consumer Category: Electric Vehicle Charging  (LT)</t>
  </si>
  <si>
    <t xml:space="preserve">Load: Electric Vehicle Charging </t>
  </si>
  <si>
    <t>300-800</t>
  </si>
  <si>
    <t>Kwh</t>
  </si>
  <si>
    <t>Contracted Load</t>
  </si>
  <si>
    <t>kW</t>
  </si>
  <si>
    <t>Installation Date</t>
  </si>
  <si>
    <t>Date</t>
  </si>
  <si>
    <t>Current Month days</t>
  </si>
  <si>
    <t>Days</t>
  </si>
  <si>
    <t>Last Date of Month</t>
  </si>
  <si>
    <t>Bill Days</t>
  </si>
  <si>
    <t>Including Installation Day</t>
  </si>
  <si>
    <t>Bill factor</t>
  </si>
  <si>
    <t>Opening Balance</t>
  </si>
  <si>
    <t>STEP2:</t>
  </si>
  <si>
    <t>Calculate Fixed Charges</t>
  </si>
  <si>
    <t>Existing Fixed Charges</t>
  </si>
  <si>
    <t>Adjusted Fixed Charges for month</t>
  </si>
  <si>
    <t>// Existing Fixed Charges * Bill Factor//</t>
  </si>
  <si>
    <t>Daily Fixed Charges</t>
  </si>
  <si>
    <t>// Adjustment Fixed Charges /Bill Days//</t>
  </si>
  <si>
    <t>STEP3:</t>
  </si>
  <si>
    <t xml:space="preserve">Sample Daily Consumption Data </t>
  </si>
  <si>
    <t>Usage Profile</t>
  </si>
  <si>
    <t>Monthly kWh</t>
  </si>
  <si>
    <t>Remarks</t>
  </si>
  <si>
    <t>Daily Consumption (kWh)</t>
  </si>
  <si>
    <t>Sample Data from HES</t>
  </si>
  <si>
    <t>Low utilisation</t>
  </si>
  <si>
    <t>300 – 800 kWh</t>
  </si>
  <si>
    <t>Few vehicles per day, early adoption</t>
  </si>
  <si>
    <t>Moderate utilisation</t>
  </si>
  <si>
    <t>800 – 2,000 kWh</t>
  </si>
  <si>
    <t>Regular 2W/4W charging</t>
  </si>
  <si>
    <t>High utilisation</t>
  </si>
  <si>
    <t>2,000 – 5,000 kWh</t>
  </si>
  <si>
    <t>Multiple vehicles, daily turnover</t>
  </si>
  <si>
    <t>Heavy (still LT)</t>
  </si>
  <si>
    <t>5,000 – 10,000 kWh</t>
  </si>
  <si>
    <t>Near-continuous use, hub locations</t>
  </si>
  <si>
    <t>Type of EV Charging Setup</t>
  </si>
  <si>
    <t>Typical Range (kW)</t>
  </si>
  <si>
    <t>Modelling Sweet Spot</t>
  </si>
  <si>
    <t>Small private charger (2W/4W, limited public access)</t>
  </si>
  <si>
    <t>3 – 7 kW</t>
  </si>
  <si>
    <t>5 kW</t>
  </si>
  <si>
    <t>Single public AC charger (slow/medium)</t>
  </si>
  <si>
    <t>7 – 15 kW</t>
  </si>
  <si>
    <t>10 kW</t>
  </si>
  <si>
    <t>Multiple AC chargers (small public station)</t>
  </si>
  <si>
    <t>15 – 30 kW</t>
  </si>
  <si>
    <t>20 kW</t>
  </si>
  <si>
    <t>Large LT charging hub (before HT shift)</t>
  </si>
  <si>
    <t>30 – 50 kW</t>
  </si>
  <si>
    <t>35 kW</t>
  </si>
  <si>
    <t>LT–HT transition charging station</t>
  </si>
  <si>
    <t>40 – 50 kW</t>
  </si>
  <si>
    <t>45 kW</t>
  </si>
  <si>
    <t>Example Calculation</t>
  </si>
  <si>
    <t>Previous Reading</t>
  </si>
  <si>
    <t>Current Reading (Kwh)</t>
  </si>
  <si>
    <t>Unit Consumed(kwh)</t>
  </si>
  <si>
    <t>Electricity Charges</t>
  </si>
  <si>
    <t>Gross Bill</t>
  </si>
  <si>
    <t xml:space="preserve">Surcharge
</t>
  </si>
  <si>
    <t>Gross Deduction</t>
  </si>
  <si>
    <t xml:space="preserve">Recharge </t>
  </si>
  <si>
    <t>Closing Balance</t>
  </si>
  <si>
    <t>= Kwh Conumed X Unit Rate of Kwh</t>
  </si>
  <si>
    <t>=Fixed Charges Based on Billfactor and Start Date</t>
  </si>
  <si>
    <t>=Fixed Charges +Electricity Charges</t>
  </si>
  <si>
    <t>=Gross Bill*Surcharge %</t>
  </si>
  <si>
    <t>=Gross Bill + Surcharge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</si>
</sst>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₹-4009]\ #,##0.00;[$₹-4009]\ \-#,##0.00"/>
    <numFmt numFmtId="165" formatCode="0.0000"/>
    <numFmt numFmtId="166" formatCode="[$₹-4009]\ #,##0;[$₹-4009]\ \-#,##0"/>
    <numFmt numFmtId="167" formatCode="_ * #,##0.0000_ ;_ * \-#,##0.00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8">
    <xf numFmtId="0" fontId="0" fillId="0" borderId="0" xfId="0"/>
    <xf numFmtId="0" fontId="2" fillId="2" borderId="0" xfId="0" applyFont="1" applyFill="1"/>
    <xf numFmtId="0" fontId="2" fillId="0" borderId="0" xfId="0" applyFont="1" applyAlignment="1">
      <alignment horizontal="right" vertical="center"/>
    </xf>
    <xf numFmtId="0" fontId="2" fillId="3" borderId="1" xfId="0" applyFont="1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0" xfId="0" applyFont="1" applyFill="1"/>
    <xf numFmtId="164" fontId="2" fillId="3" borderId="0" xfId="0" applyNumberFormat="1" applyFont="1" applyFill="1"/>
    <xf numFmtId="0" fontId="0" fillId="3" borderId="0" xfId="0" applyFill="1"/>
    <xf numFmtId="0" fontId="0" fillId="3" borderId="5" xfId="0" applyFill="1" applyBorder="1"/>
    <xf numFmtId="0" fontId="2" fillId="3" borderId="4" xfId="0" applyFont="1" applyFill="1" applyBorder="1"/>
    <xf numFmtId="0" fontId="2" fillId="3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right"/>
    </xf>
    <xf numFmtId="0" fontId="2" fillId="4" borderId="0" xfId="0" applyFont="1" applyFill="1" applyAlignment="1">
      <alignment horizontal="right"/>
    </xf>
    <xf numFmtId="0" fontId="0" fillId="0" borderId="0" xfId="0" applyAlignment="1">
      <alignment horizontal="center"/>
    </xf>
    <xf numFmtId="14" fontId="2" fillId="4" borderId="0" xfId="0" applyNumberFormat="1" applyFont="1" applyFill="1"/>
    <xf numFmtId="14" fontId="0" fillId="0" borderId="0" xfId="0" applyNumberFormat="1" applyAlignment="1">
      <alignment horizontal="right"/>
    </xf>
    <xf numFmtId="165" fontId="0" fillId="0" borderId="0" xfId="0" applyNumberFormat="1"/>
    <xf numFmtId="166" fontId="2" fillId="4" borderId="0" xfId="0" applyNumberFormat="1" applyFont="1" applyFill="1"/>
    <xf numFmtId="164" fontId="0" fillId="0" borderId="0" xfId="0" applyNumberFormat="1"/>
    <xf numFmtId="0" fontId="2" fillId="0" borderId="9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 wrapText="1"/>
    </xf>
    <xf numFmtId="0" fontId="2" fillId="0" borderId="0" xfId="0" applyFont="1" applyAlignment="1">
      <alignment horizontal="right"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14" fontId="0" fillId="5" borderId="9" xfId="0" applyNumberFormat="1" applyFill="1" applyBorder="1" applyAlignment="1">
      <alignment horizontal="center"/>
    </xf>
    <xf numFmtId="2" fontId="0" fillId="5" borderId="9" xfId="0" applyNumberFormat="1" applyFill="1" applyBorder="1" applyAlignment="1">
      <alignment horizontal="center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vertical="center" wrapText="1"/>
    </xf>
    <xf numFmtId="9" fontId="0" fillId="6" borderId="0" xfId="0" applyNumberFormat="1" applyFill="1" applyAlignment="1">
      <alignment horizontal="center"/>
    </xf>
    <xf numFmtId="166" fontId="0" fillId="0" borderId="0" xfId="0" applyNumberFormat="1"/>
    <xf numFmtId="14" fontId="2" fillId="2" borderId="10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 wrapText="1"/>
    </xf>
    <xf numFmtId="0" fontId="2" fillId="2" borderId="10" xfId="0" quotePrefix="1" applyFont="1" applyFill="1" applyBorder="1" applyAlignment="1">
      <alignment horizontal="center" vertical="center"/>
    </xf>
    <xf numFmtId="166" fontId="2" fillId="2" borderId="10" xfId="0" applyNumberFormat="1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top"/>
    </xf>
    <xf numFmtId="2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  <xf numFmtId="165" fontId="0" fillId="0" borderId="0" xfId="1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7" fontId="0" fillId="0" borderId="0" xfId="1" applyNumberFormat="1" applyFont="1" applyAlignment="1">
      <alignment horizontal="center"/>
    </xf>
    <xf numFmtId="0" fontId="0" fillId="0" borderId="0" xfId="0" applyAlignment="1">
      <alignment horizontal="lef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B928-F0B3-4BCD-A3E7-9753C7E7AEF9}">
  <sheetPr>
    <tabColor rgb="FF92D050"/>
  </sheetPr>
  <dimension ref="B1:P128"/>
  <sheetViews>
    <sheetView showGridLines="0" tabSelected="1" zoomScaleNormal="100" workbookViewId="0">
      <selection activeCell="G19" sqref="G19"/>
    </sheetView>
  </sheetViews>
  <sheetFormatPr defaultRowHeight="16.2" customHeight="1" x14ac:dyDescent="0.3"/>
  <cols>
    <col min="2" max="2" width="28" customWidth="1"/>
    <col min="3" max="3" width="28.33203125" customWidth="1"/>
    <col min="4" max="4" width="22.109375" customWidth="1"/>
    <col min="5" max="5" width="18.88671875" customWidth="1"/>
    <col min="6" max="6" width="12.5546875" customWidth="1"/>
    <col min="7" max="7" width="27.5546875" customWidth="1"/>
    <col min="8" max="8" width="23.5546875" customWidth="1"/>
    <col min="9" max="9" width="22.44140625" customWidth="1"/>
    <col min="10" max="10" width="15.77734375" customWidth="1"/>
    <col min="11" max="11" width="20.5546875" bestFit="1" customWidth="1"/>
    <col min="12" max="12" width="8.88671875" bestFit="1" customWidth="1"/>
    <col min="13" max="13" width="14.109375" customWidth="1"/>
    <col min="14" max="14" width="66.88671875" customWidth="1"/>
    <col min="15" max="15" width="27.109375" customWidth="1"/>
    <col min="16" max="16" width="51" customWidth="1"/>
  </cols>
  <sheetData>
    <row r="1" spans="2:16" ht="16.2" customHeight="1" x14ac:dyDescent="0.3">
      <c r="B1" s="1" t="s">
        <v>0</v>
      </c>
      <c r="C1" s="1"/>
    </row>
    <row r="2" spans="2:16" ht="27" customHeight="1" x14ac:dyDescent="0.3">
      <c r="B2" s="2" t="s">
        <v>1</v>
      </c>
      <c r="C2" s="57" t="s">
        <v>2</v>
      </c>
      <c r="D2" s="57"/>
      <c r="E2" s="57"/>
      <c r="F2" s="57"/>
      <c r="G2" s="57"/>
      <c r="H2" s="57"/>
      <c r="I2" s="57"/>
      <c r="J2" s="57"/>
    </row>
    <row r="4" spans="2:16" ht="16.2" customHeight="1" x14ac:dyDescent="0.3">
      <c r="B4" s="1" t="s">
        <v>3</v>
      </c>
      <c r="C4" s="1"/>
      <c r="D4" s="1"/>
    </row>
    <row r="5" spans="2:16" ht="16.2" customHeight="1" x14ac:dyDescent="0.3">
      <c r="C5" s="3" t="s">
        <v>4</v>
      </c>
      <c r="D5" s="4"/>
      <c r="E5" s="4"/>
      <c r="F5" s="4"/>
      <c r="G5" s="4"/>
      <c r="H5" s="4"/>
      <c r="I5" s="4"/>
      <c r="J5" s="5"/>
    </row>
    <row r="6" spans="2:16" ht="16.2" customHeight="1" x14ac:dyDescent="0.3">
      <c r="C6" s="6"/>
      <c r="D6" s="7" t="s">
        <v>5</v>
      </c>
      <c r="E6" s="8">
        <v>8.1999999999999993</v>
      </c>
      <c r="F6" s="9" t="s">
        <v>6</v>
      </c>
      <c r="G6" s="9"/>
      <c r="H6" s="9"/>
      <c r="I6" s="9"/>
      <c r="J6" s="10"/>
    </row>
    <row r="7" spans="2:16" ht="16.2" customHeight="1" x14ac:dyDescent="0.3">
      <c r="C7" s="6"/>
      <c r="D7" s="7"/>
      <c r="E7" s="8"/>
      <c r="F7" s="9"/>
      <c r="G7" s="9"/>
      <c r="H7" s="9"/>
      <c r="I7" s="9"/>
      <c r="J7" s="10"/>
    </row>
    <row r="8" spans="2:16" ht="16.2" customHeight="1" x14ac:dyDescent="0.3">
      <c r="C8" s="11" t="s">
        <v>7</v>
      </c>
      <c r="D8" s="9"/>
      <c r="E8" s="8">
        <v>75</v>
      </c>
      <c r="F8" s="9" t="s">
        <v>8</v>
      </c>
      <c r="G8" s="9"/>
      <c r="H8" s="9"/>
      <c r="I8" s="9"/>
      <c r="J8" s="10"/>
    </row>
    <row r="9" spans="2:16" ht="16.2" customHeight="1" x14ac:dyDescent="0.3">
      <c r="C9" s="12"/>
      <c r="D9" s="13"/>
      <c r="E9" s="13"/>
      <c r="F9" s="13"/>
      <c r="G9" s="13"/>
      <c r="H9" s="13"/>
      <c r="I9" s="13"/>
      <c r="J9" s="14"/>
    </row>
    <row r="10" spans="2:16" ht="16.2" customHeight="1" x14ac:dyDescent="0.3">
      <c r="N10" s="15"/>
      <c r="O10" s="15"/>
      <c r="P10" s="15"/>
    </row>
    <row r="11" spans="2:16" ht="16.2" customHeight="1" x14ac:dyDescent="0.3">
      <c r="N11" s="16"/>
      <c r="O11" s="17"/>
      <c r="P11" s="16"/>
    </row>
    <row r="12" spans="2:16" ht="16.2" customHeight="1" x14ac:dyDescent="0.3">
      <c r="B12" s="1" t="s">
        <v>9</v>
      </c>
      <c r="C12" s="1"/>
      <c r="D12" s="18"/>
      <c r="N12" s="16"/>
      <c r="O12" s="17"/>
      <c r="P12" s="16"/>
    </row>
    <row r="13" spans="2:16" ht="16.2" customHeight="1" x14ac:dyDescent="0.3">
      <c r="B13" s="19" t="s">
        <v>10</v>
      </c>
      <c r="C13" s="1" t="s">
        <v>11</v>
      </c>
      <c r="D13" s="18"/>
      <c r="N13" s="16"/>
      <c r="O13" s="17"/>
      <c r="P13" s="16"/>
    </row>
    <row r="14" spans="2:16" ht="16.2" customHeight="1" x14ac:dyDescent="0.3">
      <c r="C14" t="s">
        <v>12</v>
      </c>
      <c r="D14" s="20" t="s">
        <v>13</v>
      </c>
      <c r="E14" t="s">
        <v>14</v>
      </c>
      <c r="N14" s="16"/>
      <c r="O14" s="17"/>
      <c r="P14" s="16"/>
    </row>
    <row r="15" spans="2:16" ht="16.2" customHeight="1" x14ac:dyDescent="0.3">
      <c r="C15" t="s">
        <v>15</v>
      </c>
      <c r="D15" s="21">
        <v>5</v>
      </c>
      <c r="E15" t="s">
        <v>16</v>
      </c>
      <c r="O15" s="22"/>
    </row>
    <row r="16" spans="2:16" ht="16.2" customHeight="1" x14ac:dyDescent="0.3">
      <c r="C16" t="s">
        <v>17</v>
      </c>
      <c r="D16" s="23">
        <v>46005</v>
      </c>
      <c r="E16" t="s">
        <v>18</v>
      </c>
      <c r="O16" s="22"/>
    </row>
    <row r="17" spans="2:16" ht="16.2" customHeight="1" x14ac:dyDescent="0.3">
      <c r="C17" t="s">
        <v>19</v>
      </c>
      <c r="D17" s="20">
        <f>DAY(EOMONTH(D16,0))</f>
        <v>31</v>
      </c>
      <c r="E17" t="s">
        <v>20</v>
      </c>
      <c r="N17" s="15"/>
      <c r="O17" s="15"/>
      <c r="P17" s="15"/>
    </row>
    <row r="18" spans="2:16" ht="14.4" x14ac:dyDescent="0.3">
      <c r="C18" t="s">
        <v>21</v>
      </c>
      <c r="D18" s="24">
        <f>EOMONTH(D16,0)</f>
        <v>46022</v>
      </c>
      <c r="N18" s="16"/>
      <c r="O18" s="17"/>
      <c r="P18" s="17"/>
    </row>
    <row r="19" spans="2:16" ht="14.4" x14ac:dyDescent="0.3">
      <c r="C19" t="s">
        <v>22</v>
      </c>
      <c r="D19">
        <f>D18-D16+1</f>
        <v>18</v>
      </c>
      <c r="E19" t="s">
        <v>23</v>
      </c>
      <c r="N19" s="16"/>
      <c r="O19" s="17"/>
      <c r="P19" s="17"/>
    </row>
    <row r="20" spans="2:16" ht="16.2" customHeight="1" x14ac:dyDescent="0.3">
      <c r="C20" t="s">
        <v>24</v>
      </c>
      <c r="D20" s="25">
        <f>ROUNDUP(D19/D17,4)</f>
        <v>0.58069999999999999</v>
      </c>
      <c r="N20" s="16"/>
      <c r="O20" s="17"/>
      <c r="P20" s="17"/>
    </row>
    <row r="21" spans="2:16" ht="16.2" customHeight="1" x14ac:dyDescent="0.3">
      <c r="C21" t="s">
        <v>25</v>
      </c>
      <c r="D21" s="26">
        <v>2500</v>
      </c>
      <c r="N21" s="16"/>
      <c r="O21" s="17"/>
      <c r="P21" s="17"/>
    </row>
    <row r="22" spans="2:16" ht="16.2" customHeight="1" x14ac:dyDescent="0.3">
      <c r="N22" s="16"/>
      <c r="O22" s="17"/>
      <c r="P22" s="17"/>
    </row>
    <row r="24" spans="2:16" ht="16.2" customHeight="1" x14ac:dyDescent="0.3">
      <c r="B24" s="19" t="s">
        <v>26</v>
      </c>
      <c r="C24" s="1" t="s">
        <v>27</v>
      </c>
      <c r="D24" s="18"/>
    </row>
    <row r="25" spans="2:16" ht="16.2" customHeight="1" x14ac:dyDescent="0.3">
      <c r="D25" s="20" t="s">
        <v>28</v>
      </c>
      <c r="E25" s="27">
        <f>E8*D15</f>
        <v>375</v>
      </c>
    </row>
    <row r="26" spans="2:16" ht="16.2" customHeight="1" x14ac:dyDescent="0.3">
      <c r="D26" s="20" t="s">
        <v>29</v>
      </c>
      <c r="E26" s="25">
        <f>E25*D20</f>
        <v>217.76249999999999</v>
      </c>
      <c r="G26" t="s">
        <v>30</v>
      </c>
    </row>
    <row r="27" spans="2:16" ht="16.2" customHeight="1" x14ac:dyDescent="0.3">
      <c r="D27" s="20" t="s">
        <v>31</v>
      </c>
      <c r="E27">
        <f>ROUNDUP(E26/D19,4)</f>
        <v>12.097999999999999</v>
      </c>
      <c r="G27" t="s">
        <v>32</v>
      </c>
    </row>
    <row r="30" spans="2:16" ht="16.2" customHeight="1" x14ac:dyDescent="0.3">
      <c r="B30" s="19" t="s">
        <v>33</v>
      </c>
      <c r="C30" s="1" t="s">
        <v>34</v>
      </c>
      <c r="D30" s="18"/>
    </row>
    <row r="31" spans="2:16" ht="16.2" customHeight="1" x14ac:dyDescent="0.3">
      <c r="N31" s="28" t="s">
        <v>35</v>
      </c>
      <c r="O31" s="28" t="s">
        <v>36</v>
      </c>
      <c r="P31" s="28" t="s">
        <v>37</v>
      </c>
    </row>
    <row r="32" spans="2:16" ht="16.2" customHeight="1" x14ac:dyDescent="0.3">
      <c r="C32" s="29" t="s">
        <v>18</v>
      </c>
      <c r="D32" s="30" t="s">
        <v>38</v>
      </c>
      <c r="E32" s="30" t="s">
        <v>39</v>
      </c>
      <c r="G32" s="15"/>
      <c r="H32" s="31"/>
      <c r="N32" s="32" t="s">
        <v>40</v>
      </c>
      <c r="O32" s="33" t="s">
        <v>41</v>
      </c>
      <c r="P32" s="32" t="s">
        <v>42</v>
      </c>
    </row>
    <row r="33" spans="3:16" ht="16.2" customHeight="1" x14ac:dyDescent="0.3">
      <c r="C33" s="34">
        <f>EOMONTH(D16,-1)+1</f>
        <v>45992</v>
      </c>
      <c r="D33" s="35" t="str">
        <f t="shared" ref="D33:D63" si="0">IF(C33&lt;$D$16,"0.00",INDEX($E$33:$E$63,MATCH(C33,$C$33:$C$63,0)))</f>
        <v>0.00</v>
      </c>
      <c r="E33" s="35">
        <v>16</v>
      </c>
      <c r="G33" s="36"/>
      <c r="H33" s="37"/>
      <c r="N33" s="32" t="s">
        <v>43</v>
      </c>
      <c r="O33" s="33" t="s">
        <v>44</v>
      </c>
      <c r="P33" s="32" t="s">
        <v>45</v>
      </c>
    </row>
    <row r="34" spans="3:16" ht="16.2" customHeight="1" x14ac:dyDescent="0.3">
      <c r="C34" s="34">
        <f>C33+1</f>
        <v>45993</v>
      </c>
      <c r="D34" s="35" t="str">
        <f t="shared" si="0"/>
        <v>0.00</v>
      </c>
      <c r="E34" s="35">
        <v>16</v>
      </c>
      <c r="G34" s="36"/>
      <c r="H34" s="37"/>
      <c r="N34" s="32" t="s">
        <v>46</v>
      </c>
      <c r="O34" s="33" t="s">
        <v>47</v>
      </c>
      <c r="P34" s="32" t="s">
        <v>48</v>
      </c>
    </row>
    <row r="35" spans="3:16" ht="16.2" customHeight="1" x14ac:dyDescent="0.3">
      <c r="C35" s="34">
        <f t="shared" ref="C35:C63" si="1">C34+1</f>
        <v>45994</v>
      </c>
      <c r="D35" s="35" t="str">
        <f t="shared" si="0"/>
        <v>0.00</v>
      </c>
      <c r="E35" s="35">
        <v>17</v>
      </c>
      <c r="G35" s="36"/>
      <c r="H35" s="37"/>
      <c r="N35" s="32" t="s">
        <v>49</v>
      </c>
      <c r="O35" s="33" t="s">
        <v>50</v>
      </c>
      <c r="P35" s="32" t="s">
        <v>51</v>
      </c>
    </row>
    <row r="36" spans="3:16" ht="16.2" customHeight="1" x14ac:dyDescent="0.3">
      <c r="C36" s="34">
        <f t="shared" si="1"/>
        <v>45995</v>
      </c>
      <c r="D36" s="35" t="str">
        <f t="shared" si="0"/>
        <v>0.00</v>
      </c>
      <c r="E36" s="35">
        <v>16</v>
      </c>
      <c r="G36" s="36"/>
      <c r="H36" s="37"/>
      <c r="O36" s="22"/>
    </row>
    <row r="37" spans="3:16" ht="16.2" customHeight="1" x14ac:dyDescent="0.3">
      <c r="C37" s="34">
        <f t="shared" si="1"/>
        <v>45996</v>
      </c>
      <c r="D37" s="35" t="str">
        <f t="shared" si="0"/>
        <v>0.00</v>
      </c>
      <c r="E37" s="35">
        <v>17</v>
      </c>
      <c r="G37" s="36"/>
      <c r="H37" s="37"/>
      <c r="O37" s="22"/>
    </row>
    <row r="38" spans="3:16" ht="16.2" customHeight="1" x14ac:dyDescent="0.3">
      <c r="C38" s="34">
        <f t="shared" si="1"/>
        <v>45997</v>
      </c>
      <c r="D38" s="35" t="str">
        <f t="shared" si="0"/>
        <v>0.00</v>
      </c>
      <c r="E38" s="35">
        <v>18</v>
      </c>
      <c r="G38" s="36"/>
      <c r="H38" s="37"/>
      <c r="N38" s="28" t="s">
        <v>52</v>
      </c>
      <c r="O38" s="28" t="s">
        <v>53</v>
      </c>
      <c r="P38" s="28" t="s">
        <v>54</v>
      </c>
    </row>
    <row r="39" spans="3:16" ht="16.2" customHeight="1" x14ac:dyDescent="0.3">
      <c r="C39" s="34">
        <f t="shared" si="1"/>
        <v>45998</v>
      </c>
      <c r="D39" s="35" t="str">
        <f t="shared" si="0"/>
        <v>0.00</v>
      </c>
      <c r="E39" s="35">
        <v>17</v>
      </c>
      <c r="G39" s="36"/>
      <c r="H39" s="37"/>
      <c r="N39" s="32" t="s">
        <v>55</v>
      </c>
      <c r="O39" s="33" t="s">
        <v>56</v>
      </c>
      <c r="P39" s="33" t="s">
        <v>57</v>
      </c>
    </row>
    <row r="40" spans="3:16" ht="16.2" customHeight="1" x14ac:dyDescent="0.3">
      <c r="C40" s="34">
        <f t="shared" si="1"/>
        <v>45999</v>
      </c>
      <c r="D40" s="35" t="str">
        <f t="shared" si="0"/>
        <v>0.00</v>
      </c>
      <c r="E40" s="35">
        <v>16</v>
      </c>
      <c r="G40" s="36"/>
      <c r="H40" s="37"/>
      <c r="N40" s="32" t="s">
        <v>58</v>
      </c>
      <c r="O40" s="33" t="s">
        <v>59</v>
      </c>
      <c r="P40" s="33" t="s">
        <v>60</v>
      </c>
    </row>
    <row r="41" spans="3:16" ht="16.2" customHeight="1" x14ac:dyDescent="0.3">
      <c r="C41" s="34">
        <f t="shared" si="1"/>
        <v>46000</v>
      </c>
      <c r="D41" s="35" t="str">
        <f t="shared" si="0"/>
        <v>0.00</v>
      </c>
      <c r="E41" s="35">
        <v>16</v>
      </c>
      <c r="G41" s="36"/>
      <c r="H41" s="37"/>
      <c r="N41" s="32" t="s">
        <v>61</v>
      </c>
      <c r="O41" s="33" t="s">
        <v>62</v>
      </c>
      <c r="P41" s="33" t="s">
        <v>63</v>
      </c>
    </row>
    <row r="42" spans="3:16" ht="16.2" customHeight="1" x14ac:dyDescent="0.3">
      <c r="C42" s="34">
        <f t="shared" si="1"/>
        <v>46001</v>
      </c>
      <c r="D42" s="35" t="str">
        <f t="shared" si="0"/>
        <v>0.00</v>
      </c>
      <c r="E42" s="35">
        <v>16</v>
      </c>
      <c r="G42" s="36"/>
      <c r="H42" s="37"/>
      <c r="N42" s="32" t="s">
        <v>64</v>
      </c>
      <c r="O42" s="33" t="s">
        <v>65</v>
      </c>
      <c r="P42" s="33" t="s">
        <v>66</v>
      </c>
    </row>
    <row r="43" spans="3:16" ht="16.2" customHeight="1" x14ac:dyDescent="0.3">
      <c r="C43" s="34">
        <f t="shared" si="1"/>
        <v>46002</v>
      </c>
      <c r="D43" s="35" t="str">
        <f t="shared" si="0"/>
        <v>0.00</v>
      </c>
      <c r="E43" s="35">
        <v>18</v>
      </c>
      <c r="G43" s="36"/>
      <c r="H43" s="37"/>
      <c r="N43" s="32" t="s">
        <v>67</v>
      </c>
      <c r="O43" s="33" t="s">
        <v>68</v>
      </c>
      <c r="P43" s="33" t="s">
        <v>69</v>
      </c>
    </row>
    <row r="44" spans="3:16" ht="16.2" customHeight="1" x14ac:dyDescent="0.3">
      <c r="C44" s="34">
        <f t="shared" si="1"/>
        <v>46003</v>
      </c>
      <c r="D44" s="35" t="str">
        <f t="shared" si="0"/>
        <v>0.00</v>
      </c>
      <c r="E44" s="35">
        <v>16</v>
      </c>
      <c r="G44" s="36"/>
      <c r="H44" s="37"/>
    </row>
    <row r="45" spans="3:16" ht="16.2" customHeight="1" x14ac:dyDescent="0.3">
      <c r="C45" s="34">
        <f t="shared" si="1"/>
        <v>46004</v>
      </c>
      <c r="D45" s="35" t="str">
        <f t="shared" si="0"/>
        <v>0.00</v>
      </c>
      <c r="E45" s="35">
        <v>16</v>
      </c>
      <c r="G45" s="36"/>
      <c r="H45" s="37"/>
    </row>
    <row r="46" spans="3:16" ht="16.2" customHeight="1" x14ac:dyDescent="0.3">
      <c r="C46" s="34">
        <f t="shared" si="1"/>
        <v>46005</v>
      </c>
      <c r="D46" s="35">
        <f t="shared" si="0"/>
        <v>17</v>
      </c>
      <c r="E46" s="35">
        <v>17</v>
      </c>
      <c r="G46" s="36"/>
      <c r="H46" s="37"/>
    </row>
    <row r="47" spans="3:16" ht="16.2" customHeight="1" x14ac:dyDescent="0.3">
      <c r="C47" s="34">
        <f t="shared" si="1"/>
        <v>46006</v>
      </c>
      <c r="D47" s="35">
        <f t="shared" si="0"/>
        <v>16</v>
      </c>
      <c r="E47" s="35">
        <v>16</v>
      </c>
      <c r="G47" s="36"/>
      <c r="H47" s="37"/>
    </row>
    <row r="48" spans="3:16" ht="16.2" customHeight="1" x14ac:dyDescent="0.3">
      <c r="C48" s="34">
        <f t="shared" si="1"/>
        <v>46007</v>
      </c>
      <c r="D48" s="35">
        <f t="shared" si="0"/>
        <v>18</v>
      </c>
      <c r="E48" s="35">
        <v>18</v>
      </c>
      <c r="G48" s="36"/>
      <c r="H48" s="37"/>
    </row>
    <row r="49" spans="3:8" ht="16.2" customHeight="1" x14ac:dyDescent="0.3">
      <c r="C49" s="34">
        <f t="shared" si="1"/>
        <v>46008</v>
      </c>
      <c r="D49" s="35">
        <f t="shared" si="0"/>
        <v>16</v>
      </c>
      <c r="E49" s="35">
        <v>16</v>
      </c>
      <c r="G49" s="36"/>
      <c r="H49" s="37"/>
    </row>
    <row r="50" spans="3:8" ht="16.2" customHeight="1" x14ac:dyDescent="0.3">
      <c r="C50" s="34">
        <f t="shared" si="1"/>
        <v>46009</v>
      </c>
      <c r="D50" s="35">
        <f t="shared" si="0"/>
        <v>16</v>
      </c>
      <c r="E50" s="35">
        <v>16</v>
      </c>
      <c r="G50" s="36"/>
      <c r="H50" s="37"/>
    </row>
    <row r="51" spans="3:8" ht="16.2" customHeight="1" x14ac:dyDescent="0.3">
      <c r="C51" s="34">
        <f t="shared" si="1"/>
        <v>46010</v>
      </c>
      <c r="D51" s="35">
        <f t="shared" si="0"/>
        <v>16</v>
      </c>
      <c r="E51" s="35">
        <v>16</v>
      </c>
      <c r="G51" s="36"/>
      <c r="H51" s="37"/>
    </row>
    <row r="52" spans="3:8" ht="16.2" customHeight="1" x14ac:dyDescent="0.3">
      <c r="C52" s="34">
        <f t="shared" si="1"/>
        <v>46011</v>
      </c>
      <c r="D52" s="35">
        <f t="shared" si="0"/>
        <v>17</v>
      </c>
      <c r="E52" s="35">
        <v>17</v>
      </c>
      <c r="G52" s="36"/>
      <c r="H52" s="37"/>
    </row>
    <row r="53" spans="3:8" ht="16.2" customHeight="1" x14ac:dyDescent="0.3">
      <c r="C53" s="34">
        <f t="shared" si="1"/>
        <v>46012</v>
      </c>
      <c r="D53" s="35">
        <f t="shared" si="0"/>
        <v>18</v>
      </c>
      <c r="E53" s="35">
        <v>18</v>
      </c>
      <c r="G53" s="36"/>
      <c r="H53" s="37"/>
    </row>
    <row r="54" spans="3:8" ht="16.2" customHeight="1" x14ac:dyDescent="0.3">
      <c r="C54" s="34">
        <f t="shared" si="1"/>
        <v>46013</v>
      </c>
      <c r="D54" s="35">
        <f t="shared" si="0"/>
        <v>16</v>
      </c>
      <c r="E54" s="35">
        <v>16</v>
      </c>
      <c r="G54" s="36"/>
      <c r="H54" s="37"/>
    </row>
    <row r="55" spans="3:8" ht="16.2" customHeight="1" x14ac:dyDescent="0.3">
      <c r="C55" s="34">
        <f t="shared" si="1"/>
        <v>46014</v>
      </c>
      <c r="D55" s="35">
        <f t="shared" si="0"/>
        <v>16</v>
      </c>
      <c r="E55" s="35">
        <v>16</v>
      </c>
      <c r="G55" s="36"/>
      <c r="H55" s="37"/>
    </row>
    <row r="56" spans="3:8" ht="16.2" customHeight="1" x14ac:dyDescent="0.3">
      <c r="C56" s="34">
        <f t="shared" si="1"/>
        <v>46015</v>
      </c>
      <c r="D56" s="35">
        <f t="shared" si="0"/>
        <v>19</v>
      </c>
      <c r="E56" s="35">
        <v>19</v>
      </c>
      <c r="G56" s="36"/>
      <c r="H56" s="37"/>
    </row>
    <row r="57" spans="3:8" ht="16.2" customHeight="1" x14ac:dyDescent="0.3">
      <c r="C57" s="34">
        <f t="shared" si="1"/>
        <v>46016</v>
      </c>
      <c r="D57" s="35">
        <f t="shared" si="0"/>
        <v>20</v>
      </c>
      <c r="E57" s="35">
        <v>20</v>
      </c>
      <c r="G57" s="36"/>
      <c r="H57" s="37"/>
    </row>
    <row r="58" spans="3:8" ht="16.2" customHeight="1" x14ac:dyDescent="0.3">
      <c r="C58" s="34">
        <f t="shared" si="1"/>
        <v>46017</v>
      </c>
      <c r="D58" s="35">
        <f t="shared" si="0"/>
        <v>16</v>
      </c>
      <c r="E58" s="35">
        <v>16</v>
      </c>
      <c r="G58" s="36"/>
      <c r="H58" s="37"/>
    </row>
    <row r="59" spans="3:8" ht="16.2" customHeight="1" x14ac:dyDescent="0.3">
      <c r="C59" s="34">
        <f t="shared" si="1"/>
        <v>46018</v>
      </c>
      <c r="D59" s="35">
        <f t="shared" si="0"/>
        <v>15</v>
      </c>
      <c r="E59" s="35">
        <v>15</v>
      </c>
      <c r="G59" s="36"/>
      <c r="H59" s="37"/>
    </row>
    <row r="60" spans="3:8" ht="16.2" customHeight="1" x14ac:dyDescent="0.3">
      <c r="C60" s="34">
        <f t="shared" si="1"/>
        <v>46019</v>
      </c>
      <c r="D60" s="35">
        <f t="shared" si="0"/>
        <v>16</v>
      </c>
      <c r="E60" s="35">
        <v>16</v>
      </c>
      <c r="G60" s="36"/>
      <c r="H60" s="37"/>
    </row>
    <row r="61" spans="3:8" ht="16.2" customHeight="1" x14ac:dyDescent="0.3">
      <c r="C61" s="34">
        <f t="shared" si="1"/>
        <v>46020</v>
      </c>
      <c r="D61" s="35">
        <f t="shared" si="0"/>
        <v>16</v>
      </c>
      <c r="E61" s="35">
        <v>16</v>
      </c>
      <c r="G61" s="36"/>
      <c r="H61" s="37"/>
    </row>
    <row r="62" spans="3:8" ht="16.2" customHeight="1" x14ac:dyDescent="0.3">
      <c r="C62" s="34">
        <f t="shared" si="1"/>
        <v>46021</v>
      </c>
      <c r="D62" s="35">
        <f t="shared" si="0"/>
        <v>16</v>
      </c>
      <c r="E62" s="35">
        <v>16</v>
      </c>
      <c r="G62" s="36"/>
      <c r="H62" s="37"/>
    </row>
    <row r="63" spans="3:8" ht="16.2" customHeight="1" x14ac:dyDescent="0.3">
      <c r="C63" s="34">
        <f t="shared" si="1"/>
        <v>46022</v>
      </c>
      <c r="D63" s="35">
        <f t="shared" si="0"/>
        <v>18</v>
      </c>
      <c r="E63" s="35">
        <v>18</v>
      </c>
      <c r="G63" s="36"/>
      <c r="H63" s="37"/>
    </row>
    <row r="64" spans="3:8" ht="16.2" customHeight="1" x14ac:dyDescent="0.3">
      <c r="C64" s="38"/>
      <c r="D64" s="39">
        <f>SUM(D33:D63)</f>
        <v>302</v>
      </c>
      <c r="E64" s="39">
        <f>SUM(E33:E63)</f>
        <v>517</v>
      </c>
      <c r="G64" s="40"/>
      <c r="H64" s="31"/>
    </row>
    <row r="65" spans="2:14" ht="16.2" customHeight="1" x14ac:dyDescent="0.3">
      <c r="C65" s="38"/>
    </row>
    <row r="66" spans="2:14" ht="16.2" customHeight="1" x14ac:dyDescent="0.3">
      <c r="C66" s="38"/>
    </row>
    <row r="67" spans="2:14" ht="16.2" customHeight="1" x14ac:dyDescent="0.3">
      <c r="B67" s="1" t="s">
        <v>70</v>
      </c>
      <c r="C67" s="38"/>
      <c r="J67" s="41">
        <v>0.02</v>
      </c>
      <c r="N67" s="42"/>
    </row>
    <row r="68" spans="2:14" ht="43.2" x14ac:dyDescent="0.3">
      <c r="C68" s="43" t="s">
        <v>18</v>
      </c>
      <c r="D68" s="44" t="s">
        <v>71</v>
      </c>
      <c r="E68" s="44" t="s">
        <v>72</v>
      </c>
      <c r="F68" s="44" t="s">
        <v>73</v>
      </c>
      <c r="G68" s="44" t="s">
        <v>74</v>
      </c>
      <c r="H68" s="44" t="s">
        <v>7</v>
      </c>
      <c r="I68" s="44" t="s">
        <v>75</v>
      </c>
      <c r="J68" s="44" t="s">
        <v>76</v>
      </c>
      <c r="K68" s="44" t="s">
        <v>77</v>
      </c>
      <c r="L68" s="44" t="s">
        <v>78</v>
      </c>
      <c r="M68" s="44" t="s">
        <v>79</v>
      </c>
    </row>
    <row r="69" spans="2:14" ht="44.4" customHeight="1" x14ac:dyDescent="0.3">
      <c r="C69" s="45"/>
      <c r="D69" s="46"/>
      <c r="E69" s="46"/>
      <c r="F69" s="46"/>
      <c r="G69" s="47" t="s">
        <v>80</v>
      </c>
      <c r="H69" s="47" t="s">
        <v>81</v>
      </c>
      <c r="I69" s="47" t="s">
        <v>82</v>
      </c>
      <c r="J69" s="47" t="s">
        <v>83</v>
      </c>
      <c r="K69" s="47" t="s">
        <v>84</v>
      </c>
      <c r="L69" s="48"/>
      <c r="M69" s="49">
        <f>D21</f>
        <v>2500</v>
      </c>
    </row>
    <row r="70" spans="2:14" ht="16.2" customHeight="1" x14ac:dyDescent="0.3">
      <c r="C70" s="38">
        <f>C33</f>
        <v>45992</v>
      </c>
      <c r="D70" s="50">
        <v>0</v>
      </c>
      <c r="E70" s="50" t="str">
        <f>D33</f>
        <v>0.00</v>
      </c>
      <c r="F70" s="51">
        <f>E70-D70</f>
        <v>0</v>
      </c>
      <c r="G70" s="52">
        <f t="shared" ref="G70:G100" si="2">IF(C70&lt;$D$16,0,D33*$E$6)</f>
        <v>0</v>
      </c>
      <c r="H70" s="53">
        <f t="shared" ref="H70:H100" si="3">IF(C70&lt;$D$16,0,$E$27)</f>
        <v>0</v>
      </c>
      <c r="I70" s="54">
        <f t="shared" ref="I70:I100" si="4">ROUNDDOWN(G70+H70,4)</f>
        <v>0</v>
      </c>
      <c r="J70" s="54">
        <f t="shared" ref="J70:J100" si="5">ROUNDDOWN($J$67*I70,4)</f>
        <v>0</v>
      </c>
      <c r="K70" s="54">
        <f t="shared" ref="K70:K100" si="6">ROUNDDOWN(I70+J70,4)</f>
        <v>0</v>
      </c>
      <c r="L70" s="55">
        <f>IF(C70&lt;$D$16,0,IF(C70=$D$16,$D$21,0))</f>
        <v>0</v>
      </c>
      <c r="M70" s="56">
        <f t="shared" ref="M70:M100" si="7">IF(C70&lt;$D$16,0,IF(C70=$D$16,L70-K70,M69-K70+L70))</f>
        <v>0</v>
      </c>
    </row>
    <row r="71" spans="2:14" ht="16.2" customHeight="1" x14ac:dyDescent="0.3">
      <c r="C71" s="38">
        <f>C70+1</f>
        <v>45993</v>
      </c>
      <c r="D71" s="51" t="str">
        <f>E70</f>
        <v>0.00</v>
      </c>
      <c r="E71" s="51">
        <f t="shared" ref="E71:E100" si="8">E70+D34</f>
        <v>0</v>
      </c>
      <c r="F71" s="51">
        <f>E71-D71</f>
        <v>0</v>
      </c>
      <c r="G71" s="52">
        <f t="shared" si="2"/>
        <v>0</v>
      </c>
      <c r="H71" s="53">
        <f t="shared" si="3"/>
        <v>0</v>
      </c>
      <c r="I71" s="54">
        <f t="shared" si="4"/>
        <v>0</v>
      </c>
      <c r="J71" s="54">
        <f t="shared" si="5"/>
        <v>0</v>
      </c>
      <c r="K71" s="54">
        <f t="shared" si="6"/>
        <v>0</v>
      </c>
      <c r="L71" s="55">
        <f>IF(C71&lt;$D$16,0,IF(C71=$D$16,$D$21,0))</f>
        <v>0</v>
      </c>
      <c r="M71" s="56">
        <f t="shared" si="7"/>
        <v>0</v>
      </c>
    </row>
    <row r="72" spans="2:14" ht="16.2" customHeight="1" x14ac:dyDescent="0.3">
      <c r="C72" s="38">
        <f t="shared" ref="C72:C100" si="9">C71+1</f>
        <v>45994</v>
      </c>
      <c r="D72" s="51">
        <f>E71</f>
        <v>0</v>
      </c>
      <c r="E72" s="51">
        <f t="shared" si="8"/>
        <v>0</v>
      </c>
      <c r="F72" s="51">
        <f>E72-D72</f>
        <v>0</v>
      </c>
      <c r="G72" s="52">
        <f t="shared" si="2"/>
        <v>0</v>
      </c>
      <c r="H72" s="53">
        <f t="shared" si="3"/>
        <v>0</v>
      </c>
      <c r="I72" s="54">
        <f t="shared" si="4"/>
        <v>0</v>
      </c>
      <c r="J72" s="54">
        <f t="shared" si="5"/>
        <v>0</v>
      </c>
      <c r="K72" s="54">
        <f t="shared" si="6"/>
        <v>0</v>
      </c>
      <c r="L72" s="55">
        <f>IF(C72&lt;$D$16,0,IF(C72=$D$16,$D$21,0))</f>
        <v>0</v>
      </c>
      <c r="M72" s="56">
        <f t="shared" si="7"/>
        <v>0</v>
      </c>
    </row>
    <row r="73" spans="2:14" ht="16.2" customHeight="1" x14ac:dyDescent="0.3">
      <c r="C73" s="38">
        <f t="shared" si="9"/>
        <v>45995</v>
      </c>
      <c r="D73" s="51">
        <f t="shared" ref="D73:D100" si="10">E72</f>
        <v>0</v>
      </c>
      <c r="E73" s="51">
        <f t="shared" si="8"/>
        <v>0</v>
      </c>
      <c r="F73" s="51">
        <f t="shared" ref="F73:F100" si="11">E73-D73</f>
        <v>0</v>
      </c>
      <c r="G73" s="52">
        <f t="shared" si="2"/>
        <v>0</v>
      </c>
      <c r="H73" s="53">
        <f t="shared" si="3"/>
        <v>0</v>
      </c>
      <c r="I73" s="54">
        <f t="shared" si="4"/>
        <v>0</v>
      </c>
      <c r="J73" s="54">
        <f t="shared" si="5"/>
        <v>0</v>
      </c>
      <c r="K73" s="54">
        <f t="shared" si="6"/>
        <v>0</v>
      </c>
      <c r="L73" s="55">
        <f t="shared" ref="L73:L100" si="12">IF(C73&lt;$D$16,0,IF(C73=$D$16,$D$21,0))</f>
        <v>0</v>
      </c>
      <c r="M73" s="56">
        <f t="shared" si="7"/>
        <v>0</v>
      </c>
    </row>
    <row r="74" spans="2:14" ht="16.2" customHeight="1" x14ac:dyDescent="0.3">
      <c r="C74" s="38">
        <f t="shared" si="9"/>
        <v>45996</v>
      </c>
      <c r="D74" s="51">
        <f t="shared" si="10"/>
        <v>0</v>
      </c>
      <c r="E74" s="51">
        <f t="shared" si="8"/>
        <v>0</v>
      </c>
      <c r="F74" s="51">
        <f t="shared" si="11"/>
        <v>0</v>
      </c>
      <c r="G74" s="52">
        <f t="shared" si="2"/>
        <v>0</v>
      </c>
      <c r="H74" s="53">
        <f t="shared" si="3"/>
        <v>0</v>
      </c>
      <c r="I74" s="54">
        <f t="shared" si="4"/>
        <v>0</v>
      </c>
      <c r="J74" s="54">
        <f t="shared" si="5"/>
        <v>0</v>
      </c>
      <c r="K74" s="54">
        <f t="shared" si="6"/>
        <v>0</v>
      </c>
      <c r="L74" s="55">
        <f t="shared" si="12"/>
        <v>0</v>
      </c>
      <c r="M74" s="56">
        <f t="shared" si="7"/>
        <v>0</v>
      </c>
    </row>
    <row r="75" spans="2:14" ht="16.2" customHeight="1" x14ac:dyDescent="0.3">
      <c r="C75" s="38">
        <f t="shared" si="9"/>
        <v>45997</v>
      </c>
      <c r="D75" s="51">
        <f t="shared" si="10"/>
        <v>0</v>
      </c>
      <c r="E75" s="51">
        <f t="shared" si="8"/>
        <v>0</v>
      </c>
      <c r="F75" s="51">
        <f t="shared" si="11"/>
        <v>0</v>
      </c>
      <c r="G75" s="52">
        <f t="shared" si="2"/>
        <v>0</v>
      </c>
      <c r="H75" s="53">
        <f t="shared" si="3"/>
        <v>0</v>
      </c>
      <c r="I75" s="54">
        <f t="shared" si="4"/>
        <v>0</v>
      </c>
      <c r="J75" s="54">
        <f t="shared" si="5"/>
        <v>0</v>
      </c>
      <c r="K75" s="54">
        <f t="shared" si="6"/>
        <v>0</v>
      </c>
      <c r="L75" s="55">
        <f t="shared" si="12"/>
        <v>0</v>
      </c>
      <c r="M75" s="56">
        <f t="shared" si="7"/>
        <v>0</v>
      </c>
    </row>
    <row r="76" spans="2:14" ht="16.2" customHeight="1" x14ac:dyDescent="0.3">
      <c r="C76" s="38">
        <f t="shared" si="9"/>
        <v>45998</v>
      </c>
      <c r="D76" s="51">
        <f t="shared" si="10"/>
        <v>0</v>
      </c>
      <c r="E76" s="51">
        <f t="shared" si="8"/>
        <v>0</v>
      </c>
      <c r="F76" s="51">
        <f t="shared" si="11"/>
        <v>0</v>
      </c>
      <c r="G76" s="52">
        <f t="shared" si="2"/>
        <v>0</v>
      </c>
      <c r="H76" s="53">
        <f t="shared" si="3"/>
        <v>0</v>
      </c>
      <c r="I76" s="54">
        <f t="shared" si="4"/>
        <v>0</v>
      </c>
      <c r="J76" s="54">
        <f t="shared" si="5"/>
        <v>0</v>
      </c>
      <c r="K76" s="54">
        <f t="shared" si="6"/>
        <v>0</v>
      </c>
      <c r="L76" s="55">
        <f t="shared" si="12"/>
        <v>0</v>
      </c>
      <c r="M76" s="56">
        <f t="shared" si="7"/>
        <v>0</v>
      </c>
    </row>
    <row r="77" spans="2:14" ht="16.2" customHeight="1" x14ac:dyDescent="0.3">
      <c r="C77" s="38">
        <f t="shared" si="9"/>
        <v>45999</v>
      </c>
      <c r="D77" s="51">
        <f t="shared" si="10"/>
        <v>0</v>
      </c>
      <c r="E77" s="51">
        <f t="shared" si="8"/>
        <v>0</v>
      </c>
      <c r="F77" s="51">
        <f t="shared" si="11"/>
        <v>0</v>
      </c>
      <c r="G77" s="52">
        <f t="shared" si="2"/>
        <v>0</v>
      </c>
      <c r="H77" s="53">
        <f t="shared" si="3"/>
        <v>0</v>
      </c>
      <c r="I77" s="54">
        <f t="shared" si="4"/>
        <v>0</v>
      </c>
      <c r="J77" s="54">
        <f t="shared" si="5"/>
        <v>0</v>
      </c>
      <c r="K77" s="54">
        <f t="shared" si="6"/>
        <v>0</v>
      </c>
      <c r="L77" s="55">
        <f t="shared" si="12"/>
        <v>0</v>
      </c>
      <c r="M77" s="56">
        <f t="shared" si="7"/>
        <v>0</v>
      </c>
    </row>
    <row r="78" spans="2:14" ht="16.2" customHeight="1" x14ac:dyDescent="0.3">
      <c r="C78" s="38">
        <f t="shared" si="9"/>
        <v>46000</v>
      </c>
      <c r="D78" s="51">
        <f t="shared" si="10"/>
        <v>0</v>
      </c>
      <c r="E78" s="51">
        <f t="shared" si="8"/>
        <v>0</v>
      </c>
      <c r="F78" s="51">
        <f t="shared" si="11"/>
        <v>0</v>
      </c>
      <c r="G78" s="52">
        <f t="shared" si="2"/>
        <v>0</v>
      </c>
      <c r="H78" s="53">
        <f t="shared" si="3"/>
        <v>0</v>
      </c>
      <c r="I78" s="54">
        <f t="shared" si="4"/>
        <v>0</v>
      </c>
      <c r="J78" s="54">
        <f t="shared" si="5"/>
        <v>0</v>
      </c>
      <c r="K78" s="54">
        <f t="shared" si="6"/>
        <v>0</v>
      </c>
      <c r="L78" s="55">
        <f t="shared" si="12"/>
        <v>0</v>
      </c>
      <c r="M78" s="56">
        <f t="shared" si="7"/>
        <v>0</v>
      </c>
    </row>
    <row r="79" spans="2:14" ht="14.4" x14ac:dyDescent="0.3">
      <c r="C79" s="38">
        <f t="shared" si="9"/>
        <v>46001</v>
      </c>
      <c r="D79" s="51">
        <f t="shared" si="10"/>
        <v>0</v>
      </c>
      <c r="E79" s="51">
        <f t="shared" si="8"/>
        <v>0</v>
      </c>
      <c r="F79" s="51">
        <f t="shared" si="11"/>
        <v>0</v>
      </c>
      <c r="G79" s="52">
        <f t="shared" si="2"/>
        <v>0</v>
      </c>
      <c r="H79" s="53">
        <f t="shared" si="3"/>
        <v>0</v>
      </c>
      <c r="I79" s="54">
        <f t="shared" si="4"/>
        <v>0</v>
      </c>
      <c r="J79" s="54">
        <f t="shared" si="5"/>
        <v>0</v>
      </c>
      <c r="K79" s="54">
        <f t="shared" si="6"/>
        <v>0</v>
      </c>
      <c r="L79" s="55">
        <f t="shared" si="12"/>
        <v>0</v>
      </c>
      <c r="M79" s="56">
        <f t="shared" si="7"/>
        <v>0</v>
      </c>
    </row>
    <row r="80" spans="2:14" ht="16.2" customHeight="1" x14ac:dyDescent="0.3">
      <c r="C80" s="38">
        <f t="shared" si="9"/>
        <v>46002</v>
      </c>
      <c r="D80" s="51">
        <f t="shared" si="10"/>
        <v>0</v>
      </c>
      <c r="E80" s="51">
        <f t="shared" si="8"/>
        <v>0</v>
      </c>
      <c r="F80" s="51">
        <f t="shared" si="11"/>
        <v>0</v>
      </c>
      <c r="G80" s="52">
        <f t="shared" si="2"/>
        <v>0</v>
      </c>
      <c r="H80" s="53">
        <f t="shared" si="3"/>
        <v>0</v>
      </c>
      <c r="I80" s="54">
        <f t="shared" si="4"/>
        <v>0</v>
      </c>
      <c r="J80" s="54">
        <f t="shared" si="5"/>
        <v>0</v>
      </c>
      <c r="K80" s="54">
        <f t="shared" si="6"/>
        <v>0</v>
      </c>
      <c r="L80" s="55">
        <f t="shared" si="12"/>
        <v>0</v>
      </c>
      <c r="M80" s="56">
        <f t="shared" si="7"/>
        <v>0</v>
      </c>
    </row>
    <row r="81" spans="3:13" ht="16.2" customHeight="1" x14ac:dyDescent="0.3">
      <c r="C81" s="38">
        <f t="shared" si="9"/>
        <v>46003</v>
      </c>
      <c r="D81" s="51">
        <f t="shared" si="10"/>
        <v>0</v>
      </c>
      <c r="E81" s="51">
        <f t="shared" si="8"/>
        <v>0</v>
      </c>
      <c r="F81" s="51">
        <f t="shared" si="11"/>
        <v>0</v>
      </c>
      <c r="G81" s="52">
        <f t="shared" si="2"/>
        <v>0</v>
      </c>
      <c r="H81" s="53">
        <f t="shared" si="3"/>
        <v>0</v>
      </c>
      <c r="I81" s="54">
        <f t="shared" si="4"/>
        <v>0</v>
      </c>
      <c r="J81" s="54">
        <f t="shared" si="5"/>
        <v>0</v>
      </c>
      <c r="K81" s="54">
        <f t="shared" si="6"/>
        <v>0</v>
      </c>
      <c r="L81" s="55">
        <f t="shared" si="12"/>
        <v>0</v>
      </c>
      <c r="M81" s="56">
        <f t="shared" si="7"/>
        <v>0</v>
      </c>
    </row>
    <row r="82" spans="3:13" ht="16.2" customHeight="1" x14ac:dyDescent="0.3">
      <c r="C82" s="38">
        <f t="shared" si="9"/>
        <v>46004</v>
      </c>
      <c r="D82" s="51">
        <f t="shared" si="10"/>
        <v>0</v>
      </c>
      <c r="E82" s="51">
        <f t="shared" si="8"/>
        <v>0</v>
      </c>
      <c r="F82" s="51">
        <f t="shared" si="11"/>
        <v>0</v>
      </c>
      <c r="G82" s="52">
        <f t="shared" si="2"/>
        <v>0</v>
      </c>
      <c r="H82" s="53">
        <f t="shared" si="3"/>
        <v>0</v>
      </c>
      <c r="I82" s="54">
        <f t="shared" si="4"/>
        <v>0</v>
      </c>
      <c r="J82" s="54">
        <f t="shared" si="5"/>
        <v>0</v>
      </c>
      <c r="K82" s="54">
        <f t="shared" si="6"/>
        <v>0</v>
      </c>
      <c r="L82" s="55">
        <f t="shared" si="12"/>
        <v>0</v>
      </c>
      <c r="M82" s="56">
        <f t="shared" si="7"/>
        <v>0</v>
      </c>
    </row>
    <row r="83" spans="3:13" ht="16.2" customHeight="1" x14ac:dyDescent="0.3">
      <c r="C83" s="38">
        <f t="shared" si="9"/>
        <v>46005</v>
      </c>
      <c r="D83" s="51">
        <f t="shared" si="10"/>
        <v>0</v>
      </c>
      <c r="E83" s="51">
        <f t="shared" si="8"/>
        <v>17</v>
      </c>
      <c r="F83" s="51">
        <f t="shared" si="11"/>
        <v>17</v>
      </c>
      <c r="G83" s="52">
        <f t="shared" si="2"/>
        <v>139.39999999999998</v>
      </c>
      <c r="H83" s="53">
        <f t="shared" si="3"/>
        <v>12.097999999999999</v>
      </c>
      <c r="I83" s="54">
        <f t="shared" si="4"/>
        <v>151.49799999999999</v>
      </c>
      <c r="J83" s="54">
        <f t="shared" si="5"/>
        <v>3.0299</v>
      </c>
      <c r="K83" s="54">
        <f t="shared" si="6"/>
        <v>154.52789999999999</v>
      </c>
      <c r="L83" s="55">
        <f t="shared" si="12"/>
        <v>2500</v>
      </c>
      <c r="M83" s="56">
        <f t="shared" si="7"/>
        <v>2345.4721</v>
      </c>
    </row>
    <row r="84" spans="3:13" ht="16.2" customHeight="1" x14ac:dyDescent="0.3">
      <c r="C84" s="38">
        <f t="shared" si="9"/>
        <v>46006</v>
      </c>
      <c r="D84" s="51">
        <f t="shared" si="10"/>
        <v>17</v>
      </c>
      <c r="E84" s="51">
        <f t="shared" si="8"/>
        <v>33</v>
      </c>
      <c r="F84" s="51">
        <f t="shared" si="11"/>
        <v>16</v>
      </c>
      <c r="G84" s="52">
        <f t="shared" si="2"/>
        <v>131.19999999999999</v>
      </c>
      <c r="H84" s="53">
        <f t="shared" si="3"/>
        <v>12.097999999999999</v>
      </c>
      <c r="I84" s="54">
        <f t="shared" si="4"/>
        <v>143.298</v>
      </c>
      <c r="J84" s="54">
        <f t="shared" si="5"/>
        <v>2.8658999999999999</v>
      </c>
      <c r="K84" s="54">
        <f t="shared" si="6"/>
        <v>146.16390000000001</v>
      </c>
      <c r="L84" s="55">
        <f t="shared" si="12"/>
        <v>0</v>
      </c>
      <c r="M84" s="56">
        <f t="shared" si="7"/>
        <v>2199.3081999999999</v>
      </c>
    </row>
    <row r="85" spans="3:13" ht="16.2" customHeight="1" x14ac:dyDescent="0.3">
      <c r="C85" s="38">
        <f t="shared" si="9"/>
        <v>46007</v>
      </c>
      <c r="D85" s="51">
        <f t="shared" si="10"/>
        <v>33</v>
      </c>
      <c r="E85" s="51">
        <f t="shared" si="8"/>
        <v>51</v>
      </c>
      <c r="F85" s="51">
        <f t="shared" si="11"/>
        <v>18</v>
      </c>
      <c r="G85" s="52">
        <f t="shared" si="2"/>
        <v>147.6</v>
      </c>
      <c r="H85" s="53">
        <f t="shared" si="3"/>
        <v>12.097999999999999</v>
      </c>
      <c r="I85" s="54">
        <f t="shared" si="4"/>
        <v>159.69800000000001</v>
      </c>
      <c r="J85" s="54">
        <f t="shared" si="5"/>
        <v>3.1939000000000002</v>
      </c>
      <c r="K85" s="54">
        <f t="shared" si="6"/>
        <v>162.89189999999999</v>
      </c>
      <c r="L85" s="55">
        <f t="shared" si="12"/>
        <v>0</v>
      </c>
      <c r="M85" s="56">
        <f t="shared" si="7"/>
        <v>2036.4162999999999</v>
      </c>
    </row>
    <row r="86" spans="3:13" ht="16.2" customHeight="1" x14ac:dyDescent="0.3">
      <c r="C86" s="38">
        <f t="shared" si="9"/>
        <v>46008</v>
      </c>
      <c r="D86" s="51">
        <f t="shared" si="10"/>
        <v>51</v>
      </c>
      <c r="E86" s="51">
        <f t="shared" si="8"/>
        <v>67</v>
      </c>
      <c r="F86" s="51">
        <f t="shared" si="11"/>
        <v>16</v>
      </c>
      <c r="G86" s="52">
        <f t="shared" si="2"/>
        <v>131.19999999999999</v>
      </c>
      <c r="H86" s="53">
        <f t="shared" si="3"/>
        <v>12.097999999999999</v>
      </c>
      <c r="I86" s="54">
        <f t="shared" si="4"/>
        <v>143.298</v>
      </c>
      <c r="J86" s="54">
        <f t="shared" si="5"/>
        <v>2.8658999999999999</v>
      </c>
      <c r="K86" s="54">
        <f t="shared" si="6"/>
        <v>146.16390000000001</v>
      </c>
      <c r="L86" s="55">
        <f t="shared" si="12"/>
        <v>0</v>
      </c>
      <c r="M86" s="56">
        <f t="shared" si="7"/>
        <v>1890.2523999999999</v>
      </c>
    </row>
    <row r="87" spans="3:13" ht="16.2" customHeight="1" x14ac:dyDescent="0.3">
      <c r="C87" s="38">
        <f t="shared" si="9"/>
        <v>46009</v>
      </c>
      <c r="D87" s="51">
        <f t="shared" si="10"/>
        <v>67</v>
      </c>
      <c r="E87" s="51">
        <f t="shared" si="8"/>
        <v>83</v>
      </c>
      <c r="F87" s="51">
        <f t="shared" si="11"/>
        <v>16</v>
      </c>
      <c r="G87" s="52">
        <f t="shared" si="2"/>
        <v>131.19999999999999</v>
      </c>
      <c r="H87" s="53">
        <f t="shared" si="3"/>
        <v>12.097999999999999</v>
      </c>
      <c r="I87" s="54">
        <f t="shared" si="4"/>
        <v>143.298</v>
      </c>
      <c r="J87" s="54">
        <f t="shared" si="5"/>
        <v>2.8658999999999999</v>
      </c>
      <c r="K87" s="54">
        <f t="shared" si="6"/>
        <v>146.16390000000001</v>
      </c>
      <c r="L87" s="55">
        <f t="shared" si="12"/>
        <v>0</v>
      </c>
      <c r="M87" s="56">
        <f t="shared" si="7"/>
        <v>1744.0884999999998</v>
      </c>
    </row>
    <row r="88" spans="3:13" ht="16.2" customHeight="1" x14ac:dyDescent="0.3">
      <c r="C88" s="38">
        <f t="shared" si="9"/>
        <v>46010</v>
      </c>
      <c r="D88" s="51">
        <f t="shared" si="10"/>
        <v>83</v>
      </c>
      <c r="E88" s="51">
        <f t="shared" si="8"/>
        <v>99</v>
      </c>
      <c r="F88" s="51">
        <f t="shared" si="11"/>
        <v>16</v>
      </c>
      <c r="G88" s="52">
        <f t="shared" si="2"/>
        <v>131.19999999999999</v>
      </c>
      <c r="H88" s="53">
        <f t="shared" si="3"/>
        <v>12.097999999999999</v>
      </c>
      <c r="I88" s="54">
        <f t="shared" si="4"/>
        <v>143.298</v>
      </c>
      <c r="J88" s="54">
        <f t="shared" si="5"/>
        <v>2.8658999999999999</v>
      </c>
      <c r="K88" s="54">
        <f t="shared" si="6"/>
        <v>146.16390000000001</v>
      </c>
      <c r="L88" s="55">
        <f t="shared" si="12"/>
        <v>0</v>
      </c>
      <c r="M88" s="56">
        <f t="shared" si="7"/>
        <v>1597.9245999999998</v>
      </c>
    </row>
    <row r="89" spans="3:13" ht="16.2" customHeight="1" x14ac:dyDescent="0.3">
      <c r="C89" s="38">
        <f t="shared" si="9"/>
        <v>46011</v>
      </c>
      <c r="D89" s="51">
        <f t="shared" si="10"/>
        <v>99</v>
      </c>
      <c r="E89" s="51">
        <f t="shared" si="8"/>
        <v>116</v>
      </c>
      <c r="F89" s="51">
        <f t="shared" si="11"/>
        <v>17</v>
      </c>
      <c r="G89" s="52">
        <f t="shared" si="2"/>
        <v>139.39999999999998</v>
      </c>
      <c r="H89" s="53">
        <f t="shared" si="3"/>
        <v>12.097999999999999</v>
      </c>
      <c r="I89" s="54">
        <f t="shared" si="4"/>
        <v>151.49799999999999</v>
      </c>
      <c r="J89" s="54">
        <f t="shared" si="5"/>
        <v>3.0299</v>
      </c>
      <c r="K89" s="54">
        <f t="shared" si="6"/>
        <v>154.52789999999999</v>
      </c>
      <c r="L89" s="55">
        <f t="shared" si="12"/>
        <v>0</v>
      </c>
      <c r="M89" s="56">
        <f t="shared" si="7"/>
        <v>1443.3966999999998</v>
      </c>
    </row>
    <row r="90" spans="3:13" ht="16.2" customHeight="1" x14ac:dyDescent="0.3">
      <c r="C90" s="38">
        <f t="shared" si="9"/>
        <v>46012</v>
      </c>
      <c r="D90" s="51">
        <f t="shared" si="10"/>
        <v>116</v>
      </c>
      <c r="E90" s="51">
        <f t="shared" si="8"/>
        <v>134</v>
      </c>
      <c r="F90" s="51">
        <f t="shared" si="11"/>
        <v>18</v>
      </c>
      <c r="G90" s="52">
        <f t="shared" si="2"/>
        <v>147.6</v>
      </c>
      <c r="H90" s="53">
        <f t="shared" si="3"/>
        <v>12.097999999999999</v>
      </c>
      <c r="I90" s="54">
        <f t="shared" si="4"/>
        <v>159.69800000000001</v>
      </c>
      <c r="J90" s="54">
        <f t="shared" si="5"/>
        <v>3.1939000000000002</v>
      </c>
      <c r="K90" s="54">
        <f t="shared" si="6"/>
        <v>162.89189999999999</v>
      </c>
      <c r="L90" s="55">
        <f t="shared" si="12"/>
        <v>0</v>
      </c>
      <c r="M90" s="56">
        <f t="shared" si="7"/>
        <v>1280.5047999999997</v>
      </c>
    </row>
    <row r="91" spans="3:13" ht="16.2" customHeight="1" x14ac:dyDescent="0.3">
      <c r="C91" s="38">
        <f t="shared" si="9"/>
        <v>46013</v>
      </c>
      <c r="D91" s="51">
        <f t="shared" si="10"/>
        <v>134</v>
      </c>
      <c r="E91" s="51">
        <f t="shared" si="8"/>
        <v>150</v>
      </c>
      <c r="F91" s="51">
        <f t="shared" si="11"/>
        <v>16</v>
      </c>
      <c r="G91" s="52">
        <f t="shared" si="2"/>
        <v>131.19999999999999</v>
      </c>
      <c r="H91" s="53">
        <f t="shared" si="3"/>
        <v>12.097999999999999</v>
      </c>
      <c r="I91" s="54">
        <f t="shared" si="4"/>
        <v>143.298</v>
      </c>
      <c r="J91" s="54">
        <f t="shared" si="5"/>
        <v>2.8658999999999999</v>
      </c>
      <c r="K91" s="54">
        <f t="shared" si="6"/>
        <v>146.16390000000001</v>
      </c>
      <c r="L91" s="55">
        <f t="shared" si="12"/>
        <v>0</v>
      </c>
      <c r="M91" s="56">
        <f t="shared" si="7"/>
        <v>1134.3408999999997</v>
      </c>
    </row>
    <row r="92" spans="3:13" ht="16.2" customHeight="1" x14ac:dyDescent="0.3">
      <c r="C92" s="38">
        <f t="shared" si="9"/>
        <v>46014</v>
      </c>
      <c r="D92" s="51">
        <f t="shared" si="10"/>
        <v>150</v>
      </c>
      <c r="E92" s="51">
        <f t="shared" si="8"/>
        <v>166</v>
      </c>
      <c r="F92" s="51">
        <f t="shared" si="11"/>
        <v>16</v>
      </c>
      <c r="G92" s="52">
        <f t="shared" si="2"/>
        <v>131.19999999999999</v>
      </c>
      <c r="H92" s="53">
        <f t="shared" si="3"/>
        <v>12.097999999999999</v>
      </c>
      <c r="I92" s="54">
        <f t="shared" si="4"/>
        <v>143.298</v>
      </c>
      <c r="J92" s="54">
        <f t="shared" si="5"/>
        <v>2.8658999999999999</v>
      </c>
      <c r="K92" s="54">
        <f t="shared" si="6"/>
        <v>146.16390000000001</v>
      </c>
      <c r="L92" s="55">
        <f t="shared" si="12"/>
        <v>0</v>
      </c>
      <c r="M92" s="56">
        <f t="shared" si="7"/>
        <v>988.17699999999968</v>
      </c>
    </row>
    <row r="93" spans="3:13" ht="16.2" customHeight="1" x14ac:dyDescent="0.3">
      <c r="C93" s="38">
        <f t="shared" si="9"/>
        <v>46015</v>
      </c>
      <c r="D93" s="51">
        <f t="shared" si="10"/>
        <v>166</v>
      </c>
      <c r="E93" s="51">
        <f t="shared" si="8"/>
        <v>185</v>
      </c>
      <c r="F93" s="51">
        <f t="shared" si="11"/>
        <v>19</v>
      </c>
      <c r="G93" s="52">
        <f t="shared" si="2"/>
        <v>155.79999999999998</v>
      </c>
      <c r="H93" s="53">
        <f t="shared" si="3"/>
        <v>12.097999999999999</v>
      </c>
      <c r="I93" s="54">
        <f t="shared" si="4"/>
        <v>167.898</v>
      </c>
      <c r="J93" s="54">
        <f t="shared" si="5"/>
        <v>3.3578999999999999</v>
      </c>
      <c r="K93" s="54">
        <f t="shared" si="6"/>
        <v>171.2559</v>
      </c>
      <c r="L93" s="55">
        <f t="shared" si="12"/>
        <v>0</v>
      </c>
      <c r="M93" s="56">
        <f t="shared" si="7"/>
        <v>816.92109999999968</v>
      </c>
    </row>
    <row r="94" spans="3:13" ht="16.2" customHeight="1" x14ac:dyDescent="0.3">
      <c r="C94" s="38">
        <f t="shared" si="9"/>
        <v>46016</v>
      </c>
      <c r="D94" s="51">
        <f t="shared" si="10"/>
        <v>185</v>
      </c>
      <c r="E94" s="51">
        <f t="shared" si="8"/>
        <v>205</v>
      </c>
      <c r="F94" s="51">
        <f t="shared" si="11"/>
        <v>20</v>
      </c>
      <c r="G94" s="52">
        <f t="shared" si="2"/>
        <v>164</v>
      </c>
      <c r="H94" s="53">
        <f t="shared" si="3"/>
        <v>12.097999999999999</v>
      </c>
      <c r="I94" s="54">
        <f t="shared" si="4"/>
        <v>176.09800000000001</v>
      </c>
      <c r="J94" s="54">
        <f t="shared" si="5"/>
        <v>3.5219</v>
      </c>
      <c r="K94" s="54">
        <f t="shared" si="6"/>
        <v>179.6199</v>
      </c>
      <c r="L94" s="55">
        <f t="shared" si="12"/>
        <v>0</v>
      </c>
      <c r="M94" s="56">
        <f t="shared" si="7"/>
        <v>637.30119999999965</v>
      </c>
    </row>
    <row r="95" spans="3:13" ht="16.2" customHeight="1" x14ac:dyDescent="0.3">
      <c r="C95" s="38">
        <f t="shared" si="9"/>
        <v>46017</v>
      </c>
      <c r="D95" s="51">
        <f t="shared" si="10"/>
        <v>205</v>
      </c>
      <c r="E95" s="51">
        <f t="shared" si="8"/>
        <v>221</v>
      </c>
      <c r="F95" s="51">
        <f t="shared" si="11"/>
        <v>16</v>
      </c>
      <c r="G95" s="52">
        <f t="shared" si="2"/>
        <v>131.19999999999999</v>
      </c>
      <c r="H95" s="53">
        <f t="shared" si="3"/>
        <v>12.097999999999999</v>
      </c>
      <c r="I95" s="54">
        <f t="shared" si="4"/>
        <v>143.298</v>
      </c>
      <c r="J95" s="54">
        <f t="shared" si="5"/>
        <v>2.8658999999999999</v>
      </c>
      <c r="K95" s="54">
        <f t="shared" si="6"/>
        <v>146.16390000000001</v>
      </c>
      <c r="L95" s="55">
        <f t="shared" si="12"/>
        <v>0</v>
      </c>
      <c r="M95" s="56">
        <f t="shared" si="7"/>
        <v>491.13729999999964</v>
      </c>
    </row>
    <row r="96" spans="3:13" ht="16.2" customHeight="1" x14ac:dyDescent="0.3">
      <c r="C96" s="38">
        <f t="shared" si="9"/>
        <v>46018</v>
      </c>
      <c r="D96" s="51">
        <f t="shared" si="10"/>
        <v>221</v>
      </c>
      <c r="E96" s="51">
        <f t="shared" si="8"/>
        <v>236</v>
      </c>
      <c r="F96" s="51">
        <f t="shared" si="11"/>
        <v>15</v>
      </c>
      <c r="G96" s="52">
        <f t="shared" si="2"/>
        <v>122.99999999999999</v>
      </c>
      <c r="H96" s="53">
        <f t="shared" si="3"/>
        <v>12.097999999999999</v>
      </c>
      <c r="I96" s="54">
        <f t="shared" si="4"/>
        <v>135.09800000000001</v>
      </c>
      <c r="J96" s="54">
        <f t="shared" si="5"/>
        <v>2.7019000000000002</v>
      </c>
      <c r="K96" s="54">
        <f t="shared" si="6"/>
        <v>137.79990000000001</v>
      </c>
      <c r="L96" s="55">
        <f t="shared" si="12"/>
        <v>0</v>
      </c>
      <c r="M96" s="56">
        <f t="shared" si="7"/>
        <v>353.33739999999966</v>
      </c>
    </row>
    <row r="97" spans="3:14" ht="16.2" customHeight="1" x14ac:dyDescent="0.3">
      <c r="C97" s="38">
        <f t="shared" si="9"/>
        <v>46019</v>
      </c>
      <c r="D97" s="51">
        <f t="shared" si="10"/>
        <v>236</v>
      </c>
      <c r="E97" s="51">
        <f t="shared" si="8"/>
        <v>252</v>
      </c>
      <c r="F97" s="51">
        <f t="shared" si="11"/>
        <v>16</v>
      </c>
      <c r="G97" s="52">
        <f t="shared" si="2"/>
        <v>131.19999999999999</v>
      </c>
      <c r="H97" s="53">
        <f t="shared" si="3"/>
        <v>12.097999999999999</v>
      </c>
      <c r="I97" s="54">
        <f t="shared" si="4"/>
        <v>143.298</v>
      </c>
      <c r="J97" s="54">
        <f t="shared" si="5"/>
        <v>2.8658999999999999</v>
      </c>
      <c r="K97" s="54">
        <f t="shared" si="6"/>
        <v>146.16390000000001</v>
      </c>
      <c r="L97" s="55">
        <f t="shared" si="12"/>
        <v>0</v>
      </c>
      <c r="M97" s="56">
        <f t="shared" si="7"/>
        <v>207.17349999999965</v>
      </c>
    </row>
    <row r="98" spans="3:14" ht="16.2" customHeight="1" x14ac:dyDescent="0.3">
      <c r="C98" s="38">
        <f t="shared" si="9"/>
        <v>46020</v>
      </c>
      <c r="D98" s="51">
        <f t="shared" si="10"/>
        <v>252</v>
      </c>
      <c r="E98" s="51">
        <f t="shared" si="8"/>
        <v>268</v>
      </c>
      <c r="F98" s="51">
        <f t="shared" si="11"/>
        <v>16</v>
      </c>
      <c r="G98" s="52">
        <f t="shared" si="2"/>
        <v>131.19999999999999</v>
      </c>
      <c r="H98" s="53">
        <f t="shared" si="3"/>
        <v>12.097999999999999</v>
      </c>
      <c r="I98" s="54">
        <f t="shared" si="4"/>
        <v>143.298</v>
      </c>
      <c r="J98" s="54">
        <f t="shared" si="5"/>
        <v>2.8658999999999999</v>
      </c>
      <c r="K98" s="54">
        <f t="shared" si="6"/>
        <v>146.16390000000001</v>
      </c>
      <c r="L98" s="55">
        <f t="shared" si="12"/>
        <v>0</v>
      </c>
      <c r="M98" s="56">
        <f t="shared" si="7"/>
        <v>61.009599999999637</v>
      </c>
    </row>
    <row r="99" spans="3:14" ht="16.2" customHeight="1" x14ac:dyDescent="0.3">
      <c r="C99" s="38">
        <f t="shared" si="9"/>
        <v>46021</v>
      </c>
      <c r="D99" s="51">
        <f t="shared" si="10"/>
        <v>268</v>
      </c>
      <c r="E99" s="51">
        <f t="shared" si="8"/>
        <v>284</v>
      </c>
      <c r="F99" s="51">
        <f t="shared" si="11"/>
        <v>16</v>
      </c>
      <c r="G99" s="52">
        <f t="shared" si="2"/>
        <v>131.19999999999999</v>
      </c>
      <c r="H99" s="53">
        <f t="shared" si="3"/>
        <v>12.097999999999999</v>
      </c>
      <c r="I99" s="54">
        <f t="shared" si="4"/>
        <v>143.298</v>
      </c>
      <c r="J99" s="54">
        <f t="shared" si="5"/>
        <v>2.8658999999999999</v>
      </c>
      <c r="K99" s="54">
        <f t="shared" si="6"/>
        <v>146.16390000000001</v>
      </c>
      <c r="L99" s="55">
        <f t="shared" si="12"/>
        <v>0</v>
      </c>
      <c r="M99" s="56">
        <f t="shared" si="7"/>
        <v>-85.154300000000376</v>
      </c>
    </row>
    <row r="100" spans="3:14" ht="16.2" customHeight="1" x14ac:dyDescent="0.3">
      <c r="C100" s="38">
        <f t="shared" si="9"/>
        <v>46022</v>
      </c>
      <c r="D100" s="51">
        <f t="shared" si="10"/>
        <v>284</v>
      </c>
      <c r="E100" s="51">
        <f t="shared" si="8"/>
        <v>302</v>
      </c>
      <c r="F100" s="51">
        <f t="shared" si="11"/>
        <v>18</v>
      </c>
      <c r="G100" s="52">
        <f t="shared" si="2"/>
        <v>147.6</v>
      </c>
      <c r="H100" s="53">
        <f t="shared" si="3"/>
        <v>12.097999999999999</v>
      </c>
      <c r="I100" s="54">
        <f t="shared" si="4"/>
        <v>159.69800000000001</v>
      </c>
      <c r="J100" s="54">
        <f t="shared" si="5"/>
        <v>3.1939000000000002</v>
      </c>
      <c r="K100" s="54">
        <f t="shared" si="6"/>
        <v>162.89189999999999</v>
      </c>
      <c r="L100" s="55">
        <f t="shared" si="12"/>
        <v>0</v>
      </c>
      <c r="M100" s="56">
        <f t="shared" si="7"/>
        <v>-248.04620000000037</v>
      </c>
    </row>
    <row r="101" spans="3:14" ht="16.2" customHeight="1" x14ac:dyDescent="0.3">
      <c r="C101" s="38"/>
      <c r="D101" s="51"/>
      <c r="E101" s="51"/>
      <c r="F101" s="51"/>
      <c r="G101" s="22"/>
      <c r="H101" s="52"/>
      <c r="I101" s="53"/>
      <c r="J101" s="54"/>
      <c r="K101" s="54"/>
      <c r="L101" s="54"/>
      <c r="M101" s="55"/>
      <c r="N101" s="56"/>
    </row>
    <row r="102" spans="3:14" ht="16.2" customHeight="1" x14ac:dyDescent="0.3">
      <c r="C102" s="38"/>
    </row>
    <row r="103" spans="3:14" ht="16.2" customHeight="1" x14ac:dyDescent="0.3">
      <c r="C103" s="38"/>
    </row>
    <row r="104" spans="3:14" ht="16.2" customHeight="1" x14ac:dyDescent="0.3">
      <c r="C104" s="38"/>
    </row>
    <row r="105" spans="3:14" ht="16.2" customHeight="1" x14ac:dyDescent="0.3">
      <c r="C105" s="38"/>
    </row>
    <row r="106" spans="3:14" ht="16.2" customHeight="1" x14ac:dyDescent="0.3">
      <c r="C106" s="38"/>
    </row>
    <row r="107" spans="3:14" ht="16.2" customHeight="1" x14ac:dyDescent="0.3">
      <c r="C107" s="38"/>
    </row>
    <row r="108" spans="3:14" ht="16.2" customHeight="1" x14ac:dyDescent="0.3">
      <c r="C108" s="38"/>
    </row>
    <row r="109" spans="3:14" ht="16.2" customHeight="1" x14ac:dyDescent="0.3">
      <c r="C109" s="38"/>
    </row>
    <row r="110" spans="3:14" ht="16.2" customHeight="1" x14ac:dyDescent="0.3">
      <c r="C110" s="38"/>
    </row>
    <row r="111" spans="3:14" ht="16.2" customHeight="1" x14ac:dyDescent="0.3">
      <c r="C111" s="38"/>
    </row>
    <row r="112" spans="3:14" ht="16.2" customHeight="1" x14ac:dyDescent="0.3">
      <c r="C112" s="38"/>
    </row>
    <row r="113" spans="3:3" ht="16.2" customHeight="1" x14ac:dyDescent="0.3">
      <c r="C113" s="38"/>
    </row>
    <row r="114" spans="3:3" ht="16.2" customHeight="1" x14ac:dyDescent="0.3">
      <c r="C114" s="38"/>
    </row>
    <row r="115" spans="3:3" ht="16.2" customHeight="1" x14ac:dyDescent="0.3">
      <c r="C115" s="38"/>
    </row>
    <row r="116" spans="3:3" ht="16.2" customHeight="1" x14ac:dyDescent="0.3">
      <c r="C116" s="38"/>
    </row>
    <row r="117" spans="3:3" ht="16.2" customHeight="1" x14ac:dyDescent="0.3">
      <c r="C117" s="38"/>
    </row>
    <row r="128" spans="3:3" ht="16.2" customHeight="1" x14ac:dyDescent="0.3">
      <c r="C128" s="38"/>
    </row>
  </sheetData>
  <mergeCells count="1">
    <mergeCell ref="C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2.9 Electric Vehicle(LT)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Narayana</dc:creator>
  <cp:lastModifiedBy>Sumitbhai Vadaviya</cp:lastModifiedBy>
  <dcterms:created xsi:type="dcterms:W3CDTF">2026-01-15T14:19:48Z</dcterms:created>
  <dcterms:modified xsi:type="dcterms:W3CDTF">2026-01-28T09:30:49Z</dcterms:modified>
</cp:coreProperties>
</file>