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B07FAE07-F6FC-4EA7-ADB9-CD7CC255F4CD}" xr6:coauthVersionLast="47" xr6:coauthVersionMax="47" xr10:uidLastSave="{00000000-0000-0000-0000-000000000000}"/>
  <bookViews>
    <workbookView xWindow="-108" yWindow="-108" windowWidth="23256" windowHeight="12456" xr2:uid="{1B432A35-983C-4745-830E-97C85D933827}"/>
  </bookViews>
  <sheets>
    <sheet name="3.5Irrigation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E25" i="1"/>
  <c r="K23" i="1"/>
  <c r="K25" i="1" s="1"/>
  <c r="K22" i="1"/>
  <c r="D18" i="1"/>
  <c r="D19" i="1" s="1"/>
  <c r="D17" i="1"/>
  <c r="D20" i="1" l="1"/>
  <c r="E26" i="1" s="1"/>
  <c r="E27" i="1" s="1"/>
  <c r="K26" i="1"/>
  <c r="K27" i="1" s="1"/>
  <c r="C70" i="1"/>
  <c r="D33" i="1"/>
  <c r="C34" i="1"/>
  <c r="C35" i="1" l="1"/>
  <c r="D34" i="1"/>
  <c r="E34" i="1" s="1"/>
  <c r="E33" i="1"/>
  <c r="L70" i="1"/>
  <c r="H70" i="1"/>
  <c r="G70" i="1"/>
  <c r="C71" i="1"/>
  <c r="M70" i="1"/>
  <c r="O70" i="1"/>
  <c r="D35" i="1" l="1"/>
  <c r="E35" i="1" s="1"/>
  <c r="C36" i="1"/>
  <c r="H71" i="1"/>
  <c r="G71" i="1"/>
  <c r="O71" i="1"/>
  <c r="C72" i="1"/>
  <c r="L71" i="1"/>
  <c r="M71" i="1"/>
  <c r="I70" i="1"/>
  <c r="P70" i="1"/>
  <c r="E70" i="1"/>
  <c r="D36" i="1" l="1"/>
  <c r="E36" i="1" s="1"/>
  <c r="C37" i="1"/>
  <c r="E71" i="1"/>
  <c r="F70" i="1"/>
  <c r="D71" i="1"/>
  <c r="J70" i="1"/>
  <c r="K70" i="1" s="1"/>
  <c r="H72" i="1"/>
  <c r="G72" i="1"/>
  <c r="O72" i="1"/>
  <c r="M72" i="1"/>
  <c r="C73" i="1"/>
  <c r="L72" i="1"/>
  <c r="I71" i="1"/>
  <c r="P71" i="1"/>
  <c r="J71" i="1" l="1"/>
  <c r="K71" i="1" s="1"/>
  <c r="E72" i="1"/>
  <c r="F71" i="1"/>
  <c r="D72" i="1"/>
  <c r="P72" i="1"/>
  <c r="I72" i="1"/>
  <c r="G73" i="1"/>
  <c r="M73" i="1"/>
  <c r="C74" i="1"/>
  <c r="O73" i="1"/>
  <c r="H73" i="1"/>
  <c r="L73" i="1"/>
  <c r="D37" i="1"/>
  <c r="E37" i="1" s="1"/>
  <c r="C38" i="1"/>
  <c r="I73" i="1" l="1"/>
  <c r="P73" i="1"/>
  <c r="C39" i="1"/>
  <c r="D38" i="1"/>
  <c r="E73" i="1"/>
  <c r="F72" i="1"/>
  <c r="D73" i="1"/>
  <c r="J72" i="1"/>
  <c r="K72" i="1"/>
  <c r="H74" i="1"/>
  <c r="G74" i="1"/>
  <c r="C75" i="1"/>
  <c r="O74" i="1"/>
  <c r="M74" i="1"/>
  <c r="L74" i="1"/>
  <c r="P74" i="1" l="1"/>
  <c r="I74" i="1"/>
  <c r="E38" i="1"/>
  <c r="G75" i="1"/>
  <c r="C76" i="1"/>
  <c r="O75" i="1"/>
  <c r="M75" i="1"/>
  <c r="L75" i="1"/>
  <c r="H75" i="1"/>
  <c r="E74" i="1"/>
  <c r="F73" i="1"/>
  <c r="D74" i="1"/>
  <c r="D39" i="1"/>
  <c r="E39" i="1" s="1"/>
  <c r="C40" i="1"/>
  <c r="J73" i="1"/>
  <c r="K73" i="1"/>
  <c r="C77" i="1" l="1"/>
  <c r="O76" i="1"/>
  <c r="M76" i="1"/>
  <c r="L76" i="1"/>
  <c r="G76" i="1"/>
  <c r="H76" i="1"/>
  <c r="P75" i="1"/>
  <c r="I75" i="1"/>
  <c r="E75" i="1"/>
  <c r="F74" i="1"/>
  <c r="D75" i="1"/>
  <c r="D40" i="1"/>
  <c r="E40" i="1" s="1"/>
  <c r="C41" i="1"/>
  <c r="J74" i="1"/>
  <c r="K74" i="1" s="1"/>
  <c r="J75" i="1" l="1"/>
  <c r="K75" i="1" s="1"/>
  <c r="D76" i="1"/>
  <c r="E76" i="1"/>
  <c r="F75" i="1"/>
  <c r="P76" i="1"/>
  <c r="I76" i="1"/>
  <c r="C42" i="1"/>
  <c r="D41" i="1"/>
  <c r="E41" i="1" s="1"/>
  <c r="O77" i="1"/>
  <c r="M77" i="1"/>
  <c r="L77" i="1"/>
  <c r="C78" i="1"/>
  <c r="H77" i="1"/>
  <c r="G77" i="1"/>
  <c r="J76" i="1" l="1"/>
  <c r="K76" i="1" s="1"/>
  <c r="E77" i="1"/>
  <c r="F76" i="1"/>
  <c r="D77" i="1"/>
  <c r="C43" i="1"/>
  <c r="D42" i="1"/>
  <c r="E42" i="1" s="1"/>
  <c r="P77" i="1"/>
  <c r="I77" i="1"/>
  <c r="C79" i="1"/>
  <c r="O78" i="1"/>
  <c r="M78" i="1"/>
  <c r="G78" i="1"/>
  <c r="L78" i="1"/>
  <c r="H78" i="1"/>
  <c r="C44" i="1" l="1"/>
  <c r="D43" i="1"/>
  <c r="E43" i="1" s="1"/>
  <c r="J77" i="1"/>
  <c r="K77" i="1" s="1"/>
  <c r="D78" i="1"/>
  <c r="E78" i="1"/>
  <c r="F77" i="1"/>
  <c r="M79" i="1"/>
  <c r="L79" i="1"/>
  <c r="G79" i="1"/>
  <c r="H79" i="1"/>
  <c r="C80" i="1"/>
  <c r="O79" i="1"/>
  <c r="I78" i="1"/>
  <c r="P78" i="1"/>
  <c r="O80" i="1" l="1"/>
  <c r="L80" i="1"/>
  <c r="C81" i="1"/>
  <c r="H80" i="1"/>
  <c r="G80" i="1"/>
  <c r="M80" i="1"/>
  <c r="P79" i="1"/>
  <c r="I79" i="1"/>
  <c r="D79" i="1"/>
  <c r="E79" i="1"/>
  <c r="F78" i="1"/>
  <c r="J78" i="1"/>
  <c r="K78" i="1" s="1"/>
  <c r="D44" i="1"/>
  <c r="E44" i="1" s="1"/>
  <c r="C45" i="1"/>
  <c r="E80" i="1" l="1"/>
  <c r="D80" i="1"/>
  <c r="F79" i="1"/>
  <c r="J79" i="1"/>
  <c r="K79" i="1" s="1"/>
  <c r="I80" i="1"/>
  <c r="P80" i="1"/>
  <c r="D45" i="1"/>
  <c r="E45" i="1" s="1"/>
  <c r="C46" i="1"/>
  <c r="M81" i="1"/>
  <c r="C82" i="1"/>
  <c r="H81" i="1"/>
  <c r="G81" i="1"/>
  <c r="O81" i="1"/>
  <c r="L81" i="1"/>
  <c r="L82" i="1" l="1"/>
  <c r="O82" i="1"/>
  <c r="H82" i="1"/>
  <c r="G82" i="1"/>
  <c r="C83" i="1"/>
  <c r="M82" i="1"/>
  <c r="J80" i="1"/>
  <c r="K80" i="1" s="1"/>
  <c r="C47" i="1"/>
  <c r="D46" i="1"/>
  <c r="E46" i="1" s="1"/>
  <c r="P81" i="1"/>
  <c r="I81" i="1"/>
  <c r="E81" i="1"/>
  <c r="F80" i="1"/>
  <c r="D81" i="1"/>
  <c r="K81" i="1" l="1"/>
  <c r="J81" i="1"/>
  <c r="D47" i="1"/>
  <c r="E47" i="1" s="1"/>
  <c r="C48" i="1"/>
  <c r="D82" i="1"/>
  <c r="E82" i="1"/>
  <c r="F81" i="1"/>
  <c r="H83" i="1"/>
  <c r="O83" i="1"/>
  <c r="C84" i="1"/>
  <c r="L83" i="1"/>
  <c r="I82" i="1"/>
  <c r="P82" i="1"/>
  <c r="H84" i="1" l="1"/>
  <c r="L84" i="1"/>
  <c r="C85" i="1"/>
  <c r="O84" i="1"/>
  <c r="E83" i="1"/>
  <c r="F82" i="1"/>
  <c r="D83" i="1"/>
  <c r="D48" i="1"/>
  <c r="E48" i="1" s="1"/>
  <c r="C49" i="1"/>
  <c r="J82" i="1"/>
  <c r="K82" i="1"/>
  <c r="D49" i="1" l="1"/>
  <c r="E49" i="1" s="1"/>
  <c r="C50" i="1"/>
  <c r="L85" i="1"/>
  <c r="C86" i="1"/>
  <c r="O85" i="1"/>
  <c r="H85" i="1"/>
  <c r="E84" i="1"/>
  <c r="F83" i="1"/>
  <c r="G83" i="1" s="1"/>
  <c r="D84" i="1"/>
  <c r="E85" i="1" l="1"/>
  <c r="F84" i="1"/>
  <c r="G84" i="1" s="1"/>
  <c r="D85" i="1"/>
  <c r="C51" i="1"/>
  <c r="D50" i="1"/>
  <c r="E50" i="1" s="1"/>
  <c r="I83" i="1"/>
  <c r="P83" i="1"/>
  <c r="H86" i="1"/>
  <c r="C87" i="1"/>
  <c r="O86" i="1"/>
  <c r="L86" i="1"/>
  <c r="C88" i="1" l="1"/>
  <c r="O87" i="1"/>
  <c r="L87" i="1"/>
  <c r="H87" i="1"/>
  <c r="J83" i="1"/>
  <c r="K83" i="1" s="1"/>
  <c r="M83" i="1" s="1"/>
  <c r="C52" i="1"/>
  <c r="D51" i="1"/>
  <c r="E51" i="1" s="1"/>
  <c r="I84" i="1"/>
  <c r="P84" i="1"/>
  <c r="E86" i="1"/>
  <c r="F85" i="1"/>
  <c r="G85" i="1" s="1"/>
  <c r="D86" i="1"/>
  <c r="J84" i="1" l="1"/>
  <c r="K84" i="1" s="1"/>
  <c r="M84" i="1" s="1"/>
  <c r="D52" i="1"/>
  <c r="E52" i="1" s="1"/>
  <c r="C53" i="1"/>
  <c r="I85" i="1"/>
  <c r="P85" i="1"/>
  <c r="C89" i="1"/>
  <c r="H88" i="1"/>
  <c r="O88" i="1"/>
  <c r="L88" i="1"/>
  <c r="E87" i="1"/>
  <c r="F86" i="1"/>
  <c r="G86" i="1" s="1"/>
  <c r="D87" i="1"/>
  <c r="D53" i="1" l="1"/>
  <c r="E53" i="1" s="1"/>
  <c r="C54" i="1"/>
  <c r="P86" i="1"/>
  <c r="I86" i="1"/>
  <c r="C90" i="1"/>
  <c r="O89" i="1"/>
  <c r="H89" i="1"/>
  <c r="L89" i="1"/>
  <c r="E88" i="1"/>
  <c r="F87" i="1"/>
  <c r="G87" i="1" s="1"/>
  <c r="D88" i="1"/>
  <c r="J85" i="1"/>
  <c r="K85" i="1" s="1"/>
  <c r="M85" i="1" s="1"/>
  <c r="J86" i="1" l="1"/>
  <c r="K86" i="1" s="1"/>
  <c r="M86" i="1" s="1"/>
  <c r="C55" i="1"/>
  <c r="D54" i="1"/>
  <c r="E54" i="1" s="1"/>
  <c r="E89" i="1"/>
  <c r="F88" i="1"/>
  <c r="G88" i="1" s="1"/>
  <c r="D89" i="1"/>
  <c r="C91" i="1"/>
  <c r="O90" i="1"/>
  <c r="L90" i="1"/>
  <c r="H90" i="1"/>
  <c r="I87" i="1"/>
  <c r="P87" i="1"/>
  <c r="O91" i="1" l="1"/>
  <c r="L91" i="1"/>
  <c r="H91" i="1"/>
  <c r="C92" i="1"/>
  <c r="D90" i="1"/>
  <c r="E90" i="1"/>
  <c r="F89" i="1"/>
  <c r="G89" i="1" s="1"/>
  <c r="J87" i="1"/>
  <c r="K87" i="1" s="1"/>
  <c r="M87" i="1" s="1"/>
  <c r="P88" i="1"/>
  <c r="I88" i="1"/>
  <c r="C56" i="1"/>
  <c r="D55" i="1"/>
  <c r="E55" i="1" s="1"/>
  <c r="P89" i="1" l="1"/>
  <c r="I89" i="1"/>
  <c r="E91" i="1"/>
  <c r="F90" i="1"/>
  <c r="G90" i="1" s="1"/>
  <c r="D91" i="1"/>
  <c r="O92" i="1"/>
  <c r="L92" i="1"/>
  <c r="C93" i="1"/>
  <c r="H92" i="1"/>
  <c r="D56" i="1"/>
  <c r="E56" i="1" s="1"/>
  <c r="C57" i="1"/>
  <c r="J88" i="1"/>
  <c r="K88" i="1" s="1"/>
  <c r="M88" i="1" s="1"/>
  <c r="P90" i="1" l="1"/>
  <c r="I90" i="1"/>
  <c r="F91" i="1"/>
  <c r="G91" i="1" s="1"/>
  <c r="D92" i="1"/>
  <c r="E92" i="1"/>
  <c r="J89" i="1"/>
  <c r="K89" i="1" s="1"/>
  <c r="M89" i="1" s="1"/>
  <c r="C58" i="1"/>
  <c r="D57" i="1"/>
  <c r="E57" i="1" s="1"/>
  <c r="L93" i="1"/>
  <c r="H93" i="1"/>
  <c r="C94" i="1"/>
  <c r="O93" i="1"/>
  <c r="D93" i="1" l="1"/>
  <c r="F92" i="1"/>
  <c r="G92" i="1" s="1"/>
  <c r="E93" i="1"/>
  <c r="C59" i="1"/>
  <c r="D58" i="1"/>
  <c r="E58" i="1" s="1"/>
  <c r="P91" i="1"/>
  <c r="I91" i="1"/>
  <c r="J90" i="1"/>
  <c r="K90" i="1" s="1"/>
  <c r="M90" i="1" s="1"/>
  <c r="L94" i="1"/>
  <c r="C95" i="1"/>
  <c r="H94" i="1"/>
  <c r="O94" i="1"/>
  <c r="O95" i="1" l="1"/>
  <c r="H95" i="1"/>
  <c r="C96" i="1"/>
  <c r="L95" i="1"/>
  <c r="C60" i="1"/>
  <c r="D59" i="1"/>
  <c r="E59" i="1" s="1"/>
  <c r="E94" i="1"/>
  <c r="F93" i="1"/>
  <c r="G93" i="1" s="1"/>
  <c r="D94" i="1"/>
  <c r="I92" i="1"/>
  <c r="P92" i="1"/>
  <c r="J91" i="1"/>
  <c r="K91" i="1" s="1"/>
  <c r="M91" i="1" s="1"/>
  <c r="E95" i="1" l="1"/>
  <c r="F94" i="1"/>
  <c r="G94" i="1" s="1"/>
  <c r="D95" i="1"/>
  <c r="H96" i="1"/>
  <c r="C97" i="1"/>
  <c r="O96" i="1"/>
  <c r="L96" i="1"/>
  <c r="D60" i="1"/>
  <c r="E60" i="1" s="1"/>
  <c r="C61" i="1"/>
  <c r="I93" i="1"/>
  <c r="P93" i="1"/>
  <c r="J92" i="1"/>
  <c r="K92" i="1" s="1"/>
  <c r="M92" i="1" s="1"/>
  <c r="D61" i="1" l="1"/>
  <c r="E61" i="1" s="1"/>
  <c r="C62" i="1"/>
  <c r="I94" i="1"/>
  <c r="P94" i="1"/>
  <c r="H97" i="1"/>
  <c r="L97" i="1"/>
  <c r="C98" i="1"/>
  <c r="O97" i="1"/>
  <c r="E96" i="1"/>
  <c r="F95" i="1"/>
  <c r="G95" i="1" s="1"/>
  <c r="D96" i="1"/>
  <c r="J93" i="1"/>
  <c r="K93" i="1" s="1"/>
  <c r="M93" i="1" s="1"/>
  <c r="E97" i="1" l="1"/>
  <c r="F96" i="1"/>
  <c r="G96" i="1" s="1"/>
  <c r="D97" i="1"/>
  <c r="J94" i="1"/>
  <c r="K94" i="1" s="1"/>
  <c r="M94" i="1" s="1"/>
  <c r="C63" i="1"/>
  <c r="D63" i="1" s="1"/>
  <c r="D62" i="1"/>
  <c r="E62" i="1" s="1"/>
  <c r="H98" i="1"/>
  <c r="C99" i="1"/>
  <c r="O98" i="1"/>
  <c r="L98" i="1"/>
  <c r="I95" i="1"/>
  <c r="P95" i="1"/>
  <c r="C100" i="1" l="1"/>
  <c r="O99" i="1"/>
  <c r="L99" i="1"/>
  <c r="H99" i="1"/>
  <c r="E63" i="1"/>
  <c r="E64" i="1" s="1"/>
  <c r="D64" i="1"/>
  <c r="J95" i="1"/>
  <c r="K95" i="1" s="1"/>
  <c r="M95" i="1" s="1"/>
  <c r="I96" i="1"/>
  <c r="P96" i="1"/>
  <c r="E98" i="1"/>
  <c r="F97" i="1"/>
  <c r="G97" i="1" s="1"/>
  <c r="D98" i="1"/>
  <c r="J96" i="1" l="1"/>
  <c r="K96" i="1"/>
  <c r="M96" i="1" s="1"/>
  <c r="I97" i="1"/>
  <c r="P97" i="1"/>
  <c r="H100" i="1"/>
  <c r="O100" i="1"/>
  <c r="O101" i="1" s="1"/>
  <c r="L100" i="1"/>
  <c r="E99" i="1"/>
  <c r="F98" i="1"/>
  <c r="G98" i="1" s="1"/>
  <c r="D99" i="1"/>
  <c r="E100" i="1" l="1"/>
  <c r="F100" i="1" s="1"/>
  <c r="G100" i="1" s="1"/>
  <c r="F99" i="1"/>
  <c r="G99" i="1" s="1"/>
  <c r="D100" i="1"/>
  <c r="J97" i="1"/>
  <c r="K97" i="1"/>
  <c r="M97" i="1" s="1"/>
  <c r="P98" i="1"/>
  <c r="I98" i="1"/>
  <c r="J98" i="1" l="1"/>
  <c r="K98" i="1" s="1"/>
  <c r="M98" i="1" s="1"/>
  <c r="P99" i="1"/>
  <c r="I99" i="1"/>
  <c r="P100" i="1"/>
  <c r="I100" i="1"/>
  <c r="J100" i="1" l="1"/>
  <c r="K100" i="1" s="1"/>
  <c r="J99" i="1"/>
  <c r="P101" i="1" s="1"/>
  <c r="K99" i="1"/>
  <c r="M99" i="1" s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FEBDF500-78B9-495A-BD5D-9D72673982E3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E2DAA6C9-3C2F-40D0-96CB-A2C29F8AA965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<sst xmlns="http://schemas.openxmlformats.org/spreadsheetml/2006/main" count="102" uniqueCount="97">
  <si>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>HT Category - 5: Irrigation &amp; Agriculture Service</t>
  </si>
  <si>
    <t xml:space="preserve">Applicability: </t>
  </si>
  <si>
    <t>This tariff is applicable for the similar purposes as already defined in LT Category- 7 above and rates are as follows:</t>
  </si>
  <si>
    <t>HT Category - 5: Irrigation &amp; Agriculture Service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</si>
  <si>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</si>
  <si>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</si>
  <si>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</si>
  <si>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</si>
  <si>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</si>
  <si>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</si>
  <si>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</si>
  <si>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 Irrigation &amp; Agriculture Service   (HT)</t>
  </si>
  <si>
    <t>Load: Irrigation &amp; Agriculture Service (HT)</t>
  </si>
  <si>
    <t>5,000 – 15,000</t>
  </si>
  <si>
    <t>Kwh</t>
  </si>
  <si>
    <t>Usage Profile</t>
  </si>
  <si>
    <t>Monthly kWh</t>
  </si>
  <si>
    <t>Remarks</t>
  </si>
  <si>
    <t>Contracted Load</t>
  </si>
  <si>
    <t>kVA</t>
  </si>
  <si>
    <t>Low usage</t>
  </si>
  <si>
    <t>5,000 – 15,000 kWh</t>
  </si>
  <si>
    <t>Seasonal operation, limited pumping</t>
  </si>
  <si>
    <t>Installation Date</t>
  </si>
  <si>
    <t>Date</t>
  </si>
  <si>
    <t>Moderate usage</t>
  </si>
  <si>
    <t>15,000 – 40,000 kWh</t>
  </si>
  <si>
    <t>Regular irrigation cycles</t>
  </si>
  <si>
    <t>Multiplying Factor</t>
  </si>
  <si>
    <t>Higher usage</t>
  </si>
  <si>
    <t>40,000 – 100,000 kWh</t>
  </si>
  <si>
    <t>Multiple pumps, longer hours</t>
  </si>
  <si>
    <t>Current Month days</t>
  </si>
  <si>
    <t>Days</t>
  </si>
  <si>
    <t>Heavy (still HT)</t>
  </si>
  <si>
    <t>100,000 – 250,000 kWh</t>
  </si>
  <si>
    <t>Large schemes during peak season</t>
  </si>
  <si>
    <t>Last Date of Month</t>
  </si>
  <si>
    <t>Bill Days</t>
  </si>
  <si>
    <t>Including Installation Day</t>
  </si>
  <si>
    <t>Bill factor</t>
  </si>
  <si>
    <t>Power Factor</t>
  </si>
  <si>
    <t>Type of Installation / Premises</t>
  </si>
  <si>
    <t>Typical Range (kVA)</t>
  </si>
  <si>
    <t>Modelling Sweet Spot</t>
  </si>
  <si>
    <t>Opening Balance</t>
  </si>
  <si>
    <t>Contract Demand</t>
  </si>
  <si>
    <t>KVA</t>
  </si>
  <si>
    <t>Small community irrigation / lift irrigation scheme</t>
  </si>
  <si>
    <t>15 – 40 kVA</t>
  </si>
  <si>
    <t>25 kVA</t>
  </si>
  <si>
    <t>Max Demand</t>
  </si>
  <si>
    <t>Medium irrigation pumping (multiple pump sets)</t>
  </si>
  <si>
    <t>40 – 100 kVA</t>
  </si>
  <si>
    <t>60 kVA</t>
  </si>
  <si>
    <t>STEP2:</t>
  </si>
  <si>
    <t>Calculate Fixed Charges</t>
  </si>
  <si>
    <t>Large irrigation pumping station / feeder</t>
  </si>
  <si>
    <t>100 – 200 kVA</t>
  </si>
  <si>
    <t>150 kVA</t>
  </si>
  <si>
    <t>Demand Charge ( revised)</t>
  </si>
  <si>
    <t>Very large agriculture pumping scheme</t>
  </si>
  <si>
    <t>200 – 400 kVA</t>
  </si>
  <si>
    <t>250 kVA</t>
  </si>
  <si>
    <t>Adjusted Fixed Charges for month</t>
  </si>
  <si>
    <t>// Existing Fixed Charges * Bill Factor//</t>
  </si>
  <si>
    <t>Major pumping system (often seasonal, high capacity)</t>
  </si>
  <si>
    <t>400 – 800 kVA</t>
  </si>
  <si>
    <t>500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</si>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</sst>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F393-3BC4-494E-89D4-8B7D6B7467EF}">
  <sheetPr>
    <tabColor rgb="FF00B0F0"/>
  </sheetPr>
  <dimension ref="B1:R128"/>
  <sheetViews>
    <sheetView showGridLines="0" tabSelected="1" topLeftCell="A46" zoomScaleNormal="100" workbookViewId="0">
      <selection activeCell="Q79" sqref="Q79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5" width="26.5546875" customWidth="1"/>
    <col min="16" max="16" width="19.44140625" customWidth="1"/>
    <col min="17" max="17" width="29.33203125" customWidth="1"/>
    <col min="18" max="18" width="40.6640625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3.85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50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25</v>
      </c>
      <c r="E14" t="s">
        <v>19</v>
      </c>
      <c r="P14" s="23" t="s">
        <v>20</v>
      </c>
      <c r="Q14" s="24" t="s">
        <v>21</v>
      </c>
      <c r="R14" s="24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4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4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4" t="s">
        <v>36</v>
      </c>
    </row>
    <row r="18" spans="2:18" ht="14.4" x14ac:dyDescent="0.3">
      <c r="C18" t="s">
        <v>37</v>
      </c>
      <c r="D18" s="26">
        <f>EOMONTH(D15,0)</f>
        <v>46022</v>
      </c>
      <c r="P18" s="23"/>
      <c r="Q18" s="24"/>
      <c r="R18" s="24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20000</v>
      </c>
      <c r="I22" s="30"/>
      <c r="J22" s="31" t="s">
        <v>46</v>
      </c>
      <c r="K22" s="32">
        <f>D14</f>
        <v>25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35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1250</v>
      </c>
      <c r="I25" s="34"/>
      <c r="J25" s="20" t="s">
        <v>60</v>
      </c>
      <c r="K25" s="37">
        <f>MAX(K22,K23)*E7</f>
        <v>1750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725.875</v>
      </c>
      <c r="F26" t="s">
        <v>65</v>
      </c>
      <c r="I26" s="34"/>
      <c r="J26" s="20" t="s">
        <v>64</v>
      </c>
      <c r="K26" s="37">
        <f>K25*D20</f>
        <v>1016.225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40.326400000000007</v>
      </c>
      <c r="F27" t="s">
        <v>70</v>
      </c>
      <c r="I27" s="34"/>
      <c r="J27" s="20" t="s">
        <v>71</v>
      </c>
      <c r="K27" s="37">
        <f>K26/D19</f>
        <v>56.456944444444446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285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290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>
        <v>8</v>
      </c>
      <c r="G35" s="46">
        <v>295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285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300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305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295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285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>
        <v>7</v>
      </c>
      <c r="G41" s="46">
        <v>290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285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305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285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290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295</v>
      </c>
      <c r="E46" s="45">
        <f t="shared" si="0"/>
        <v>297.97979797979798</v>
      </c>
      <c r="F46" s="45"/>
      <c r="G46" s="46">
        <v>295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285</v>
      </c>
      <c r="E47" s="45">
        <f t="shared" si="0"/>
        <v>287.87878787878788</v>
      </c>
      <c r="F47" s="45"/>
      <c r="G47" s="46">
        <v>285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310</v>
      </c>
      <c r="E48" s="45">
        <f t="shared" si="0"/>
        <v>313.13131313131311</v>
      </c>
      <c r="F48" s="45"/>
      <c r="G48" s="46">
        <v>310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285</v>
      </c>
      <c r="E49" s="45">
        <f t="shared" si="0"/>
        <v>287.87878787878788</v>
      </c>
      <c r="F49" s="45"/>
      <c r="G49" s="46">
        <v>285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290</v>
      </c>
      <c r="E50" s="45">
        <f t="shared" si="0"/>
        <v>292.92929292929296</v>
      </c>
      <c r="F50" s="50">
        <v>35</v>
      </c>
      <c r="G50" s="46">
        <v>290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285</v>
      </c>
      <c r="E51" s="45">
        <f t="shared" si="0"/>
        <v>287.87878787878788</v>
      </c>
      <c r="F51" s="45"/>
      <c r="G51" s="46">
        <v>285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300</v>
      </c>
      <c r="E52" s="45">
        <f t="shared" si="0"/>
        <v>303.03030303030306</v>
      </c>
      <c r="F52" s="45"/>
      <c r="G52" s="46">
        <v>300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305</v>
      </c>
      <c r="E53" s="45">
        <f t="shared" si="0"/>
        <v>308.08080808080808</v>
      </c>
      <c r="F53" s="45"/>
      <c r="G53" s="46">
        <v>305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285</v>
      </c>
      <c r="E54" s="45">
        <f t="shared" si="0"/>
        <v>287.87878787878788</v>
      </c>
      <c r="F54" s="45"/>
      <c r="G54" s="46">
        <v>285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290</v>
      </c>
      <c r="E55" s="45">
        <f t="shared" si="0"/>
        <v>292.92929292929296</v>
      </c>
      <c r="F55" s="45"/>
      <c r="G55" s="46">
        <v>290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315</v>
      </c>
      <c r="E56" s="45">
        <f t="shared" si="0"/>
        <v>318.18181818181819</v>
      </c>
      <c r="F56" s="45"/>
      <c r="G56" s="46">
        <v>315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325</v>
      </c>
      <c r="E57" s="45">
        <f t="shared" si="0"/>
        <v>328.28282828282829</v>
      </c>
      <c r="F57" s="45"/>
      <c r="G57" s="46">
        <v>325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285</v>
      </c>
      <c r="E58" s="45">
        <f t="shared" si="0"/>
        <v>287.87878787878788</v>
      </c>
      <c r="F58" s="45"/>
      <c r="G58" s="46">
        <v>285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280</v>
      </c>
      <c r="E59" s="45">
        <f t="shared" si="0"/>
        <v>282.82828282828285</v>
      </c>
      <c r="F59" s="45"/>
      <c r="G59" s="46">
        <v>280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290</v>
      </c>
      <c r="E60" s="45">
        <f t="shared" si="0"/>
        <v>292.92929292929296</v>
      </c>
      <c r="F60" s="45"/>
      <c r="G60" s="46">
        <v>290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285</v>
      </c>
      <c r="E61" s="45">
        <f t="shared" si="0"/>
        <v>287.87878787878788</v>
      </c>
      <c r="F61" s="45"/>
      <c r="G61" s="46">
        <v>285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290</v>
      </c>
      <c r="E62" s="45">
        <f t="shared" si="0"/>
        <v>292.92929292929296</v>
      </c>
      <c r="F62" s="45"/>
      <c r="G62" s="46">
        <v>290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305</v>
      </c>
      <c r="E63" s="45">
        <f t="shared" si="0"/>
        <v>308.08080808080808</v>
      </c>
      <c r="F63" s="45"/>
      <c r="G63" s="46">
        <v>305</v>
      </c>
      <c r="H63" s="47"/>
      <c r="I63" s="48"/>
      <c r="J63" s="49"/>
    </row>
    <row r="64" spans="3:10" ht="16.2" customHeight="1" x14ac:dyDescent="0.3">
      <c r="C64" s="51"/>
      <c r="D64" s="52">
        <f>SUM(D33:D63)</f>
        <v>5305</v>
      </c>
      <c r="E64" s="52">
        <f>SUM(E33:E63)</f>
        <v>5358.5858585858596</v>
      </c>
      <c r="F64" s="52">
        <f>MAX(F33:F63)</f>
        <v>35</v>
      </c>
      <c r="G64" s="52">
        <f>SUM(G33:G63)</f>
        <v>9100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20000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297.97979797979798</v>
      </c>
      <c r="F83" s="66">
        <f t="shared" si="15"/>
        <v>297.97979797979798</v>
      </c>
      <c r="G83" s="67">
        <f t="shared" si="3"/>
        <v>1147.2222222222222</v>
      </c>
      <c r="H83" s="68">
        <f t="shared" si="4"/>
        <v>40.326400000000007</v>
      </c>
      <c r="I83" s="69">
        <f t="shared" si="5"/>
        <v>1187.5486000000001</v>
      </c>
      <c r="J83" s="69">
        <f t="shared" si="6"/>
        <v>23.750900000000001</v>
      </c>
      <c r="K83" s="69">
        <f t="shared" si="7"/>
        <v>1211.2995000000001</v>
      </c>
      <c r="L83" s="70">
        <f t="shared" si="8"/>
        <v>20000</v>
      </c>
      <c r="M83" s="59">
        <f t="shared" si="9"/>
        <v>18788.700499999999</v>
      </c>
      <c r="N83" s="59"/>
      <c r="O83" s="68">
        <f t="shared" si="10"/>
        <v>56.456944444444446</v>
      </c>
      <c r="P83" s="68">
        <f t="shared" si="12"/>
        <v>24.073583333333332</v>
      </c>
    </row>
    <row r="84" spans="3:16" ht="16.2" customHeight="1" x14ac:dyDescent="0.3">
      <c r="C84" s="51">
        <f t="shared" si="13"/>
        <v>46006</v>
      </c>
      <c r="D84" s="66">
        <f t="shared" si="14"/>
        <v>297.97979797979798</v>
      </c>
      <c r="E84" s="66">
        <f t="shared" si="11"/>
        <v>585.85858585858591</v>
      </c>
      <c r="F84" s="66">
        <f t="shared" si="15"/>
        <v>287.87878787878793</v>
      </c>
      <c r="G84" s="67">
        <f t="shared" si="3"/>
        <v>1108.3333333333335</v>
      </c>
      <c r="H84" s="68">
        <f t="shared" si="4"/>
        <v>40.326400000000007</v>
      </c>
      <c r="I84" s="69">
        <f t="shared" si="5"/>
        <v>1148.6596999999999</v>
      </c>
      <c r="J84" s="69">
        <f t="shared" si="6"/>
        <v>22.973099999999999</v>
      </c>
      <c r="K84" s="69">
        <f t="shared" si="7"/>
        <v>1171.6328000000001</v>
      </c>
      <c r="L84" s="70">
        <f t="shared" si="8"/>
        <v>0</v>
      </c>
      <c r="M84" s="59">
        <f t="shared" si="9"/>
        <v>17617.0677</v>
      </c>
      <c r="N84" s="59"/>
      <c r="O84" s="68">
        <f t="shared" si="10"/>
        <v>56.456944444444446</v>
      </c>
      <c r="P84" s="68">
        <f t="shared" si="12"/>
        <v>23.295805555555557</v>
      </c>
    </row>
    <row r="85" spans="3:16" ht="16.2" customHeight="1" x14ac:dyDescent="0.3">
      <c r="C85" s="51">
        <f t="shared" si="13"/>
        <v>46007</v>
      </c>
      <c r="D85" s="66">
        <f t="shared" si="14"/>
        <v>585.85858585858591</v>
      </c>
      <c r="E85" s="66">
        <f t="shared" si="11"/>
        <v>898.98989898989907</v>
      </c>
      <c r="F85" s="66">
        <f t="shared" si="15"/>
        <v>313.13131313131316</v>
      </c>
      <c r="G85" s="67">
        <f t="shared" si="3"/>
        <v>1205.5555555555557</v>
      </c>
      <c r="H85" s="68">
        <f t="shared" si="4"/>
        <v>40.326400000000007</v>
      </c>
      <c r="I85" s="69">
        <f t="shared" si="5"/>
        <v>1245.8819000000001</v>
      </c>
      <c r="J85" s="69">
        <f t="shared" si="6"/>
        <v>24.9176</v>
      </c>
      <c r="K85" s="69">
        <f t="shared" si="7"/>
        <v>1270.7995000000001</v>
      </c>
      <c r="L85" s="70">
        <f t="shared" si="8"/>
        <v>0</v>
      </c>
      <c r="M85" s="59">
        <f t="shared" si="9"/>
        <v>16346.268199999999</v>
      </c>
      <c r="N85" s="59"/>
      <c r="O85" s="68">
        <f t="shared" si="10"/>
        <v>56.456944444444446</v>
      </c>
      <c r="P85" s="68">
        <f t="shared" si="12"/>
        <v>25.240250000000003</v>
      </c>
    </row>
    <row r="86" spans="3:16" ht="16.2" customHeight="1" x14ac:dyDescent="0.3">
      <c r="C86" s="51">
        <f t="shared" si="13"/>
        <v>46008</v>
      </c>
      <c r="D86" s="66">
        <f t="shared" si="14"/>
        <v>898.98989898989907</v>
      </c>
      <c r="E86" s="66">
        <f t="shared" si="11"/>
        <v>1186.8686868686868</v>
      </c>
      <c r="F86" s="66">
        <f t="shared" si="15"/>
        <v>287.87878787878776</v>
      </c>
      <c r="G86" s="67">
        <f t="shared" si="3"/>
        <v>1108.3333333333328</v>
      </c>
      <c r="H86" s="68">
        <f t="shared" si="4"/>
        <v>40.326400000000007</v>
      </c>
      <c r="I86" s="69">
        <f t="shared" si="5"/>
        <v>1148.6596999999999</v>
      </c>
      <c r="J86" s="69">
        <f t="shared" si="6"/>
        <v>22.973099999999999</v>
      </c>
      <c r="K86" s="69">
        <f t="shared" si="7"/>
        <v>1171.6328000000001</v>
      </c>
      <c r="L86" s="70">
        <f t="shared" si="8"/>
        <v>0</v>
      </c>
      <c r="M86" s="59">
        <f t="shared" si="9"/>
        <v>15174.635399999999</v>
      </c>
      <c r="N86" s="59"/>
      <c r="O86" s="68">
        <f t="shared" si="10"/>
        <v>56.456944444444446</v>
      </c>
      <c r="P86" s="68">
        <f t="shared" si="12"/>
        <v>23.295805555555543</v>
      </c>
    </row>
    <row r="87" spans="3:16" ht="16.2" customHeight="1" x14ac:dyDescent="0.3">
      <c r="C87" s="51">
        <f t="shared" si="13"/>
        <v>46009</v>
      </c>
      <c r="D87" s="66">
        <f t="shared" si="14"/>
        <v>1186.8686868686868</v>
      </c>
      <c r="E87" s="66">
        <f t="shared" si="11"/>
        <v>1479.7979797979797</v>
      </c>
      <c r="F87" s="66">
        <f t="shared" si="15"/>
        <v>292.92929292929284</v>
      </c>
      <c r="G87" s="67">
        <f t="shared" si="3"/>
        <v>1127.7777777777774</v>
      </c>
      <c r="H87" s="68">
        <f t="shared" si="4"/>
        <v>40.326400000000007</v>
      </c>
      <c r="I87" s="69">
        <f t="shared" si="5"/>
        <v>1168.1041</v>
      </c>
      <c r="J87" s="69">
        <f t="shared" si="6"/>
        <v>23.361999999999998</v>
      </c>
      <c r="K87" s="69">
        <f t="shared" si="7"/>
        <v>1191.4661000000001</v>
      </c>
      <c r="L87" s="70">
        <f t="shared" si="8"/>
        <v>0</v>
      </c>
      <c r="M87" s="59">
        <f t="shared" si="9"/>
        <v>13983.1693</v>
      </c>
      <c r="N87" s="59"/>
      <c r="O87" s="68">
        <f t="shared" si="10"/>
        <v>56.456944444444446</v>
      </c>
      <c r="P87" s="68">
        <f t="shared" si="12"/>
        <v>23.684694444444435</v>
      </c>
    </row>
    <row r="88" spans="3:16" ht="16.2" customHeight="1" x14ac:dyDescent="0.3">
      <c r="C88" s="51">
        <f t="shared" si="13"/>
        <v>46010</v>
      </c>
      <c r="D88" s="66">
        <f t="shared" si="14"/>
        <v>1479.7979797979797</v>
      </c>
      <c r="E88" s="66">
        <f t="shared" si="11"/>
        <v>1767.6767676767677</v>
      </c>
      <c r="F88" s="66">
        <f t="shared" si="15"/>
        <v>287.87878787878799</v>
      </c>
      <c r="G88" s="67">
        <f t="shared" si="3"/>
        <v>1108.3333333333337</v>
      </c>
      <c r="H88" s="68">
        <f t="shared" si="4"/>
        <v>40.326400000000007</v>
      </c>
      <c r="I88" s="69">
        <f t="shared" si="5"/>
        <v>1148.6596999999999</v>
      </c>
      <c r="J88" s="69">
        <f t="shared" si="6"/>
        <v>22.973099999999999</v>
      </c>
      <c r="K88" s="69">
        <f t="shared" si="7"/>
        <v>1171.6328000000001</v>
      </c>
      <c r="L88" s="70">
        <f t="shared" si="8"/>
        <v>0</v>
      </c>
      <c r="M88" s="59">
        <f t="shared" si="9"/>
        <v>12811.5365</v>
      </c>
      <c r="N88" s="59"/>
      <c r="O88" s="68">
        <f t="shared" si="10"/>
        <v>56.456944444444446</v>
      </c>
      <c r="P88" s="68">
        <f t="shared" si="12"/>
        <v>23.295805555555564</v>
      </c>
    </row>
    <row r="89" spans="3:16" ht="16.2" customHeight="1" x14ac:dyDescent="0.3">
      <c r="C89" s="51">
        <f t="shared" si="13"/>
        <v>46011</v>
      </c>
      <c r="D89" s="66">
        <f t="shared" si="14"/>
        <v>1767.6767676767677</v>
      </c>
      <c r="E89" s="66">
        <f t="shared" si="11"/>
        <v>2070.7070707070707</v>
      </c>
      <c r="F89" s="66">
        <f t="shared" si="15"/>
        <v>303.030303030303</v>
      </c>
      <c r="G89" s="67">
        <f t="shared" si="3"/>
        <v>1166.6666666666665</v>
      </c>
      <c r="H89" s="68">
        <f t="shared" si="4"/>
        <v>40.326400000000007</v>
      </c>
      <c r="I89" s="69">
        <f t="shared" si="5"/>
        <v>1206.9929999999999</v>
      </c>
      <c r="J89" s="69">
        <f t="shared" si="6"/>
        <v>24.139800000000001</v>
      </c>
      <c r="K89" s="69">
        <f t="shared" si="7"/>
        <v>1231.1328000000001</v>
      </c>
      <c r="L89" s="70">
        <f t="shared" si="8"/>
        <v>0</v>
      </c>
      <c r="M89" s="59">
        <f t="shared" si="9"/>
        <v>11580.403700000001</v>
      </c>
      <c r="N89" s="59"/>
      <c r="O89" s="68">
        <f t="shared" si="10"/>
        <v>56.456944444444446</v>
      </c>
      <c r="P89" s="68">
        <f t="shared" si="12"/>
        <v>24.462472222222218</v>
      </c>
    </row>
    <row r="90" spans="3:16" ht="16.2" customHeight="1" x14ac:dyDescent="0.3">
      <c r="C90" s="51">
        <f t="shared" si="13"/>
        <v>46012</v>
      </c>
      <c r="D90" s="66">
        <f t="shared" si="14"/>
        <v>2070.7070707070707</v>
      </c>
      <c r="E90" s="66">
        <f t="shared" si="11"/>
        <v>2378.787878787879</v>
      </c>
      <c r="F90" s="66">
        <f t="shared" si="15"/>
        <v>308.08080808080831</v>
      </c>
      <c r="G90" s="67">
        <f t="shared" si="3"/>
        <v>1186.111111111112</v>
      </c>
      <c r="H90" s="68">
        <f t="shared" si="4"/>
        <v>40.326400000000007</v>
      </c>
      <c r="I90" s="69">
        <f t="shared" si="5"/>
        <v>1226.4375</v>
      </c>
      <c r="J90" s="69">
        <f t="shared" si="6"/>
        <v>24.528700000000001</v>
      </c>
      <c r="K90" s="69">
        <f t="shared" si="7"/>
        <v>1250.9662000000001</v>
      </c>
      <c r="L90" s="70">
        <f t="shared" si="8"/>
        <v>0</v>
      </c>
      <c r="M90" s="59">
        <f t="shared" si="9"/>
        <v>10329.4375</v>
      </c>
      <c r="N90" s="59"/>
      <c r="O90" s="68">
        <f t="shared" si="10"/>
        <v>56.456944444444446</v>
      </c>
      <c r="P90" s="68">
        <f t="shared" si="12"/>
        <v>24.851361111111128</v>
      </c>
    </row>
    <row r="91" spans="3:16" ht="16.2" customHeight="1" x14ac:dyDescent="0.3">
      <c r="C91" s="51">
        <f t="shared" si="13"/>
        <v>46013</v>
      </c>
      <c r="D91" s="66">
        <f t="shared" si="14"/>
        <v>2378.787878787879</v>
      </c>
      <c r="E91" s="66">
        <f t="shared" si="11"/>
        <v>2666.666666666667</v>
      </c>
      <c r="F91" s="66">
        <f t="shared" si="15"/>
        <v>287.87878787878799</v>
      </c>
      <c r="G91" s="67">
        <f t="shared" si="3"/>
        <v>1108.3333333333337</v>
      </c>
      <c r="H91" s="68">
        <f t="shared" si="4"/>
        <v>40.326400000000007</v>
      </c>
      <c r="I91" s="69">
        <f t="shared" si="5"/>
        <v>1148.6596999999999</v>
      </c>
      <c r="J91" s="69">
        <f t="shared" si="6"/>
        <v>22.973099999999999</v>
      </c>
      <c r="K91" s="69">
        <f t="shared" si="7"/>
        <v>1171.6328000000001</v>
      </c>
      <c r="L91" s="70">
        <f t="shared" si="8"/>
        <v>0</v>
      </c>
      <c r="M91" s="59">
        <f t="shared" si="9"/>
        <v>9157.8047000000006</v>
      </c>
      <c r="N91" s="59"/>
      <c r="O91" s="68">
        <f t="shared" si="10"/>
        <v>56.456944444444446</v>
      </c>
      <c r="P91" s="68">
        <f t="shared" si="12"/>
        <v>23.295805555555564</v>
      </c>
    </row>
    <row r="92" spans="3:16" ht="16.2" customHeight="1" x14ac:dyDescent="0.3">
      <c r="C92" s="51">
        <f t="shared" si="13"/>
        <v>46014</v>
      </c>
      <c r="D92" s="66">
        <f t="shared" si="14"/>
        <v>2666.666666666667</v>
      </c>
      <c r="E92" s="66">
        <f t="shared" si="11"/>
        <v>2959.5959595959598</v>
      </c>
      <c r="F92" s="66">
        <f t="shared" si="15"/>
        <v>292.92929292929284</v>
      </c>
      <c r="G92" s="67">
        <f t="shared" si="3"/>
        <v>1127.7777777777774</v>
      </c>
      <c r="H92" s="68">
        <f t="shared" si="4"/>
        <v>40.326400000000007</v>
      </c>
      <c r="I92" s="69">
        <f t="shared" si="5"/>
        <v>1168.1041</v>
      </c>
      <c r="J92" s="69">
        <f t="shared" si="6"/>
        <v>23.361999999999998</v>
      </c>
      <c r="K92" s="69">
        <f t="shared" si="7"/>
        <v>1191.4661000000001</v>
      </c>
      <c r="L92" s="70">
        <f t="shared" si="8"/>
        <v>0</v>
      </c>
      <c r="M92" s="59">
        <f t="shared" si="9"/>
        <v>7966.338600000001</v>
      </c>
      <c r="N92" s="59"/>
      <c r="O92" s="68">
        <f t="shared" si="10"/>
        <v>56.456944444444446</v>
      </c>
      <c r="P92" s="68">
        <f t="shared" si="12"/>
        <v>23.684694444444435</v>
      </c>
    </row>
    <row r="93" spans="3:16" ht="16.2" customHeight="1" x14ac:dyDescent="0.3">
      <c r="C93" s="51">
        <f t="shared" si="13"/>
        <v>46015</v>
      </c>
      <c r="D93" s="66">
        <f t="shared" si="14"/>
        <v>2959.5959595959598</v>
      </c>
      <c r="E93" s="66">
        <f t="shared" si="11"/>
        <v>3277.7777777777778</v>
      </c>
      <c r="F93" s="66">
        <f t="shared" si="15"/>
        <v>318.18181818181802</v>
      </c>
      <c r="G93" s="67">
        <f t="shared" si="3"/>
        <v>1224.9999999999993</v>
      </c>
      <c r="H93" s="68">
        <f t="shared" si="4"/>
        <v>40.326400000000007</v>
      </c>
      <c r="I93" s="69">
        <f t="shared" si="5"/>
        <v>1265.3263999999999</v>
      </c>
      <c r="J93" s="69">
        <f t="shared" si="6"/>
        <v>25.3065</v>
      </c>
      <c r="K93" s="69">
        <f t="shared" si="7"/>
        <v>1290.6329000000001</v>
      </c>
      <c r="L93" s="70">
        <f t="shared" si="8"/>
        <v>0</v>
      </c>
      <c r="M93" s="59">
        <f t="shared" si="9"/>
        <v>6675.7057000000004</v>
      </c>
      <c r="N93" s="59"/>
      <c r="O93" s="68">
        <f t="shared" si="10"/>
        <v>56.456944444444446</v>
      </c>
      <c r="P93" s="68">
        <f t="shared" si="12"/>
        <v>25.629138888888875</v>
      </c>
    </row>
    <row r="94" spans="3:16" ht="16.2" customHeight="1" x14ac:dyDescent="0.3">
      <c r="C94" s="51">
        <f t="shared" si="13"/>
        <v>46016</v>
      </c>
      <c r="D94" s="66">
        <f t="shared" si="14"/>
        <v>3277.7777777777778</v>
      </c>
      <c r="E94" s="66">
        <f t="shared" si="11"/>
        <v>3606.060606060606</v>
      </c>
      <c r="F94" s="66">
        <f t="shared" si="15"/>
        <v>328.28282828282818</v>
      </c>
      <c r="G94" s="67">
        <f t="shared" si="3"/>
        <v>1263.8888888888885</v>
      </c>
      <c r="H94" s="68">
        <f t="shared" si="4"/>
        <v>40.326400000000007</v>
      </c>
      <c r="I94" s="69">
        <f t="shared" si="5"/>
        <v>1304.2152000000001</v>
      </c>
      <c r="J94" s="69">
        <f t="shared" si="6"/>
        <v>26.084299999999999</v>
      </c>
      <c r="K94" s="69">
        <f t="shared" si="7"/>
        <v>1330.2995000000001</v>
      </c>
      <c r="L94" s="70">
        <f t="shared" si="8"/>
        <v>0</v>
      </c>
      <c r="M94" s="59">
        <f t="shared" si="9"/>
        <v>5345.4062000000004</v>
      </c>
      <c r="N94" s="59"/>
      <c r="O94" s="68">
        <f t="shared" si="10"/>
        <v>56.456944444444446</v>
      </c>
      <c r="P94" s="68">
        <f t="shared" si="12"/>
        <v>26.406916666666657</v>
      </c>
    </row>
    <row r="95" spans="3:16" ht="16.2" customHeight="1" x14ac:dyDescent="0.3">
      <c r="C95" s="51">
        <f t="shared" si="13"/>
        <v>46017</v>
      </c>
      <c r="D95" s="66">
        <f t="shared" si="14"/>
        <v>3606.060606060606</v>
      </c>
      <c r="E95" s="66">
        <f t="shared" si="11"/>
        <v>3893.939393939394</v>
      </c>
      <c r="F95" s="66">
        <f t="shared" si="15"/>
        <v>287.87878787878799</v>
      </c>
      <c r="G95" s="67">
        <f t="shared" si="3"/>
        <v>1108.3333333333337</v>
      </c>
      <c r="H95" s="68">
        <f t="shared" si="4"/>
        <v>40.326400000000007</v>
      </c>
      <c r="I95" s="69">
        <f t="shared" si="5"/>
        <v>1148.6596999999999</v>
      </c>
      <c r="J95" s="69">
        <f t="shared" si="6"/>
        <v>22.973099999999999</v>
      </c>
      <c r="K95" s="69">
        <f t="shared" si="7"/>
        <v>1171.6328000000001</v>
      </c>
      <c r="L95" s="70">
        <f t="shared" si="8"/>
        <v>0</v>
      </c>
      <c r="M95" s="59">
        <f t="shared" si="9"/>
        <v>4173.7734</v>
      </c>
      <c r="N95" s="59"/>
      <c r="O95" s="68">
        <f t="shared" si="10"/>
        <v>56.456944444444446</v>
      </c>
      <c r="P95" s="68">
        <f t="shared" si="12"/>
        <v>23.295805555555564</v>
      </c>
    </row>
    <row r="96" spans="3:16" ht="16.2" customHeight="1" x14ac:dyDescent="0.3">
      <c r="C96" s="51">
        <f t="shared" si="13"/>
        <v>46018</v>
      </c>
      <c r="D96" s="66">
        <f t="shared" si="14"/>
        <v>3893.939393939394</v>
      </c>
      <c r="E96" s="66">
        <f t="shared" si="11"/>
        <v>4176.7676767676767</v>
      </c>
      <c r="F96" s="66">
        <f t="shared" si="15"/>
        <v>282.82828282828268</v>
      </c>
      <c r="G96" s="67">
        <f t="shared" si="3"/>
        <v>1088.8888888888885</v>
      </c>
      <c r="H96" s="68">
        <f t="shared" si="4"/>
        <v>40.326400000000007</v>
      </c>
      <c r="I96" s="69">
        <f t="shared" si="5"/>
        <v>1129.2152000000001</v>
      </c>
      <c r="J96" s="69">
        <f t="shared" si="6"/>
        <v>22.584299999999999</v>
      </c>
      <c r="K96" s="69">
        <f t="shared" si="7"/>
        <v>1151.7995000000001</v>
      </c>
      <c r="L96" s="70">
        <f t="shared" si="8"/>
        <v>0</v>
      </c>
      <c r="M96" s="59">
        <f t="shared" si="9"/>
        <v>3021.9739</v>
      </c>
      <c r="N96" s="59"/>
      <c r="O96" s="68">
        <f t="shared" si="10"/>
        <v>56.456944444444446</v>
      </c>
      <c r="P96" s="68">
        <f t="shared" si="12"/>
        <v>22.906916666666657</v>
      </c>
    </row>
    <row r="97" spans="3:16" ht="16.2" customHeight="1" x14ac:dyDescent="0.3">
      <c r="C97" s="51">
        <f t="shared" si="13"/>
        <v>46019</v>
      </c>
      <c r="D97" s="66">
        <f t="shared" si="14"/>
        <v>4176.7676767676767</v>
      </c>
      <c r="E97" s="66">
        <f t="shared" si="11"/>
        <v>4469.69696969697</v>
      </c>
      <c r="F97" s="66">
        <f t="shared" si="15"/>
        <v>292.9292929292933</v>
      </c>
      <c r="G97" s="67">
        <f t="shared" si="3"/>
        <v>1127.7777777777792</v>
      </c>
      <c r="H97" s="68">
        <f t="shared" si="4"/>
        <v>40.326400000000007</v>
      </c>
      <c r="I97" s="69">
        <f t="shared" si="5"/>
        <v>1168.1041</v>
      </c>
      <c r="J97" s="69">
        <f t="shared" si="6"/>
        <v>23.361999999999998</v>
      </c>
      <c r="K97" s="69">
        <f t="shared" si="7"/>
        <v>1191.4661000000001</v>
      </c>
      <c r="L97" s="70">
        <f t="shared" si="8"/>
        <v>0</v>
      </c>
      <c r="M97" s="59">
        <f t="shared" si="9"/>
        <v>1830.5077999999999</v>
      </c>
      <c r="N97" s="59"/>
      <c r="O97" s="68">
        <f t="shared" si="10"/>
        <v>56.456944444444446</v>
      </c>
      <c r="P97" s="68">
        <f t="shared" si="12"/>
        <v>23.684694444444471</v>
      </c>
    </row>
    <row r="98" spans="3:16" ht="16.2" customHeight="1" x14ac:dyDescent="0.3">
      <c r="C98" s="51">
        <f t="shared" si="13"/>
        <v>46020</v>
      </c>
      <c r="D98" s="66">
        <f t="shared" si="14"/>
        <v>4469.69696969697</v>
      </c>
      <c r="E98" s="66">
        <f t="shared" si="11"/>
        <v>4757.575757575758</v>
      </c>
      <c r="F98" s="66">
        <f t="shared" si="15"/>
        <v>287.87878787878799</v>
      </c>
      <c r="G98" s="67">
        <f t="shared" si="3"/>
        <v>1108.3333333333337</v>
      </c>
      <c r="H98" s="68">
        <f t="shared" si="4"/>
        <v>40.326400000000007</v>
      </c>
      <c r="I98" s="69">
        <f t="shared" si="5"/>
        <v>1148.6596999999999</v>
      </c>
      <c r="J98" s="69">
        <f t="shared" si="6"/>
        <v>22.973099999999999</v>
      </c>
      <c r="K98" s="69">
        <f t="shared" si="7"/>
        <v>1171.6328000000001</v>
      </c>
      <c r="L98" s="70">
        <f t="shared" si="8"/>
        <v>0</v>
      </c>
      <c r="M98" s="59">
        <f t="shared" si="9"/>
        <v>658.87499999999977</v>
      </c>
      <c r="N98" s="59"/>
      <c r="O98" s="68">
        <f t="shared" si="10"/>
        <v>56.456944444444446</v>
      </c>
      <c r="P98" s="68">
        <f t="shared" si="12"/>
        <v>23.295805555555564</v>
      </c>
    </row>
    <row r="99" spans="3:16" ht="16.2" customHeight="1" x14ac:dyDescent="0.3">
      <c r="C99" s="51">
        <f t="shared" si="13"/>
        <v>46021</v>
      </c>
      <c r="D99" s="66">
        <f t="shared" si="14"/>
        <v>4757.575757575758</v>
      </c>
      <c r="E99" s="66">
        <f t="shared" si="11"/>
        <v>5050.5050505050513</v>
      </c>
      <c r="F99" s="66">
        <f t="shared" si="15"/>
        <v>292.9292929292933</v>
      </c>
      <c r="G99" s="67">
        <f t="shared" si="3"/>
        <v>1127.7777777777792</v>
      </c>
      <c r="H99" s="68">
        <f t="shared" si="4"/>
        <v>40.326400000000007</v>
      </c>
      <c r="I99" s="69">
        <f t="shared" si="5"/>
        <v>1168.1041</v>
      </c>
      <c r="J99" s="69">
        <f t="shared" si="6"/>
        <v>23.361999999999998</v>
      </c>
      <c r="K99" s="69">
        <f t="shared" si="7"/>
        <v>1191.4661000000001</v>
      </c>
      <c r="L99" s="70">
        <f t="shared" si="8"/>
        <v>0</v>
      </c>
      <c r="M99" s="59">
        <f t="shared" si="9"/>
        <v>-532.59110000000032</v>
      </c>
      <c r="N99" s="59"/>
      <c r="O99" s="68">
        <f t="shared" si="10"/>
        <v>56.456944444444446</v>
      </c>
      <c r="P99" s="68">
        <f t="shared" si="12"/>
        <v>23.684694444444471</v>
      </c>
    </row>
    <row r="100" spans="3:16" ht="16.2" customHeight="1" x14ac:dyDescent="0.3">
      <c r="C100" s="51">
        <f t="shared" si="13"/>
        <v>46022</v>
      </c>
      <c r="D100" s="66">
        <f t="shared" si="14"/>
        <v>5050.5050505050513</v>
      </c>
      <c r="E100" s="66">
        <f t="shared" si="11"/>
        <v>5358.5858585858596</v>
      </c>
      <c r="F100" s="66">
        <f t="shared" si="15"/>
        <v>308.08080808080831</v>
      </c>
      <c r="G100" s="67">
        <f t="shared" si="3"/>
        <v>1186.111111111112</v>
      </c>
      <c r="H100" s="68">
        <f t="shared" si="4"/>
        <v>40.326400000000007</v>
      </c>
      <c r="I100" s="69">
        <f t="shared" si="5"/>
        <v>1226.4375</v>
      </c>
      <c r="J100" s="69">
        <f t="shared" si="6"/>
        <v>24.528700000000001</v>
      </c>
      <c r="K100" s="69">
        <f t="shared" si="7"/>
        <v>1250.9662000000001</v>
      </c>
      <c r="L100" s="70">
        <f t="shared" si="8"/>
        <v>0</v>
      </c>
      <c r="M100" s="59">
        <f t="shared" si="9"/>
        <v>-1783.5573000000004</v>
      </c>
      <c r="O100" s="68">
        <f t="shared" si="10"/>
        <v>56.456944444444446</v>
      </c>
      <c r="P100" s="68">
        <f t="shared" si="12"/>
        <v>24.851361111111128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-2079.7153111111106</v>
      </c>
      <c r="N101" s="71"/>
      <c r="O101" s="72">
        <f>SUM(O70:O100)-SUM(H70:H100)</f>
        <v>290.34979999999928</v>
      </c>
      <c r="P101" s="72">
        <f>SUM(P70:P100)-SUM(J70:J100)</f>
        <v>5.8082111111110635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3.5Irrigation(HT)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2026-01-16T03:56:36Z</dcterms:created>
  <dcterms:modified xsi:type="dcterms:W3CDTF">2026-01-28T09:33:47Z</dcterms:modified>
</cp:coreProperties>
</file>