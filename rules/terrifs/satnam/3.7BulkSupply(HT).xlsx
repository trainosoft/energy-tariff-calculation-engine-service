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F12D96C7-4DFE-4698-A6EE-8CFB6E402CD0}" xr6:coauthVersionLast="47" xr6:coauthVersionMax="47" xr10:uidLastSave="{00000000-0000-0000-0000-000000000000}"/>
  <bookViews>
    <workbookView xWindow="-108" yWindow="-108" windowWidth="23256" windowHeight="12456" xr2:uid="{DDA49C0F-85A0-4EC1-8DCD-B92F7DAB14F4}"/>
  </bookViews>
  <sheets>
    <sheet name="3.7BulkSupply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D35" i="1"/>
  <c r="E35" i="1" s="1"/>
  <c r="C35" i="1"/>
  <c r="C36" i="1" s="1"/>
  <c r="C34" i="1"/>
  <c r="D34" i="1" s="1"/>
  <c r="E34" i="1" s="1"/>
  <c r="C33" i="1"/>
  <c r="C70" i="1" s="1"/>
  <c r="K25" i="1"/>
  <c r="E25" i="1"/>
  <c r="K23" i="1"/>
  <c r="K22" i="1"/>
  <c r="D18" i="1"/>
  <c r="D19" i="1" s="1"/>
  <c r="D20" i="1" s="1"/>
  <c r="E26" i="1" s="1"/>
  <c r="E27" i="1" s="1"/>
  <c r="D17" i="1"/>
  <c r="K26" i="1" l="1"/>
  <c r="K27" i="1" s="1"/>
  <c r="C37" i="1"/>
  <c r="D36" i="1"/>
  <c r="E36" i="1" s="1"/>
  <c r="C71" i="1"/>
  <c r="O70" i="1"/>
  <c r="M70" i="1"/>
  <c r="L70" i="1"/>
  <c r="G70" i="1"/>
  <c r="H70" i="1"/>
  <c r="D33" i="1"/>
  <c r="E33" i="1" l="1"/>
  <c r="D37" i="1"/>
  <c r="E37" i="1" s="1"/>
  <c r="C38" i="1"/>
  <c r="M71" i="1"/>
  <c r="O71" i="1"/>
  <c r="L71" i="1"/>
  <c r="C72" i="1"/>
  <c r="H71" i="1"/>
  <c r="G71" i="1"/>
  <c r="P70" i="1"/>
  <c r="I70" i="1"/>
  <c r="J70" i="1" l="1"/>
  <c r="K70" i="1" s="1"/>
  <c r="P71" i="1"/>
  <c r="I71" i="1"/>
  <c r="E70" i="1"/>
  <c r="O72" i="1"/>
  <c r="M72" i="1"/>
  <c r="L72" i="1"/>
  <c r="H72" i="1"/>
  <c r="G72" i="1"/>
  <c r="C73" i="1"/>
  <c r="C39" i="1"/>
  <c r="D38" i="1"/>
  <c r="E38" i="1" s="1"/>
  <c r="C40" i="1" l="1"/>
  <c r="D39" i="1"/>
  <c r="E39" i="1" s="1"/>
  <c r="I72" i="1"/>
  <c r="P72" i="1"/>
  <c r="J71" i="1"/>
  <c r="K71" i="1" s="1"/>
  <c r="M73" i="1"/>
  <c r="L73" i="1"/>
  <c r="C74" i="1"/>
  <c r="H73" i="1"/>
  <c r="G73" i="1"/>
  <c r="O73" i="1"/>
  <c r="E71" i="1"/>
  <c r="D71" i="1"/>
  <c r="F70" i="1"/>
  <c r="J72" i="1" l="1"/>
  <c r="K72" i="1" s="1"/>
  <c r="D72" i="1"/>
  <c r="E72" i="1"/>
  <c r="F71" i="1"/>
  <c r="C41" i="1"/>
  <c r="D40" i="1"/>
  <c r="I73" i="1"/>
  <c r="P73" i="1"/>
  <c r="L74" i="1"/>
  <c r="H74" i="1"/>
  <c r="C75" i="1"/>
  <c r="O74" i="1"/>
  <c r="M74" i="1"/>
  <c r="G74" i="1"/>
  <c r="H75" i="1" l="1"/>
  <c r="G75" i="1"/>
  <c r="O75" i="1"/>
  <c r="M75" i="1"/>
  <c r="L75" i="1"/>
  <c r="C76" i="1"/>
  <c r="E40" i="1"/>
  <c r="J73" i="1"/>
  <c r="K73" i="1" s="1"/>
  <c r="D41" i="1"/>
  <c r="E41" i="1" s="1"/>
  <c r="C42" i="1"/>
  <c r="I74" i="1"/>
  <c r="P74" i="1"/>
  <c r="E73" i="1"/>
  <c r="D73" i="1"/>
  <c r="F72" i="1"/>
  <c r="C43" i="1" l="1"/>
  <c r="D42" i="1"/>
  <c r="E42" i="1" s="1"/>
  <c r="I75" i="1"/>
  <c r="P75" i="1"/>
  <c r="H76" i="1"/>
  <c r="G76" i="1"/>
  <c r="C77" i="1"/>
  <c r="M76" i="1"/>
  <c r="L76" i="1"/>
  <c r="O76" i="1"/>
  <c r="E74" i="1"/>
  <c r="D74" i="1"/>
  <c r="F73" i="1"/>
  <c r="J74" i="1"/>
  <c r="K74" i="1" s="1"/>
  <c r="G77" i="1" l="1"/>
  <c r="H77" i="1"/>
  <c r="O77" i="1"/>
  <c r="C78" i="1"/>
  <c r="M77" i="1"/>
  <c r="L77" i="1"/>
  <c r="I76" i="1"/>
  <c r="P76" i="1"/>
  <c r="D43" i="1"/>
  <c r="E43" i="1" s="1"/>
  <c r="C44" i="1"/>
  <c r="J75" i="1"/>
  <c r="K75" i="1" s="1"/>
  <c r="D75" i="1"/>
  <c r="F74" i="1"/>
  <c r="E75" i="1"/>
  <c r="C45" i="1" l="1"/>
  <c r="D44" i="1"/>
  <c r="E44" i="1" s="1"/>
  <c r="F75" i="1"/>
  <c r="E76" i="1"/>
  <c r="D76" i="1"/>
  <c r="J76" i="1"/>
  <c r="K76" i="1" s="1"/>
  <c r="H78" i="1"/>
  <c r="G78" i="1"/>
  <c r="C79" i="1"/>
  <c r="O78" i="1"/>
  <c r="M78" i="1"/>
  <c r="L78" i="1"/>
  <c r="I77" i="1"/>
  <c r="P77" i="1"/>
  <c r="G79" i="1" l="1"/>
  <c r="C80" i="1"/>
  <c r="M79" i="1"/>
  <c r="L79" i="1"/>
  <c r="H79" i="1"/>
  <c r="O79" i="1"/>
  <c r="E77" i="1"/>
  <c r="F76" i="1"/>
  <c r="D77" i="1"/>
  <c r="I78" i="1"/>
  <c r="P78" i="1"/>
  <c r="J77" i="1"/>
  <c r="K77" i="1" s="1"/>
  <c r="D45" i="1"/>
  <c r="E45" i="1" s="1"/>
  <c r="C46" i="1"/>
  <c r="C81" i="1" l="1"/>
  <c r="O80" i="1"/>
  <c r="H80" i="1"/>
  <c r="G80" i="1"/>
  <c r="M80" i="1"/>
  <c r="L80" i="1"/>
  <c r="J78" i="1"/>
  <c r="K78" i="1" s="1"/>
  <c r="E78" i="1"/>
  <c r="F77" i="1"/>
  <c r="D78" i="1"/>
  <c r="C47" i="1"/>
  <c r="D46" i="1"/>
  <c r="E46" i="1" s="1"/>
  <c r="P79" i="1"/>
  <c r="I79" i="1"/>
  <c r="P80" i="1" l="1"/>
  <c r="I80" i="1"/>
  <c r="D47" i="1"/>
  <c r="E47" i="1" s="1"/>
  <c r="C48" i="1"/>
  <c r="J79" i="1"/>
  <c r="K79" i="1" s="1"/>
  <c r="E79" i="1"/>
  <c r="F78" i="1"/>
  <c r="D79" i="1"/>
  <c r="C82" i="1"/>
  <c r="O81" i="1"/>
  <c r="M81" i="1"/>
  <c r="L81" i="1"/>
  <c r="G81" i="1"/>
  <c r="H81" i="1"/>
  <c r="C83" i="1" l="1"/>
  <c r="O82" i="1"/>
  <c r="M82" i="1"/>
  <c r="L82" i="1"/>
  <c r="H82" i="1"/>
  <c r="G82" i="1"/>
  <c r="E80" i="1"/>
  <c r="F79" i="1"/>
  <c r="D80" i="1"/>
  <c r="P81" i="1"/>
  <c r="I81" i="1"/>
  <c r="J80" i="1"/>
  <c r="K80" i="1" s="1"/>
  <c r="C49" i="1"/>
  <c r="D48" i="1"/>
  <c r="E48" i="1" s="1"/>
  <c r="J81" i="1" l="1"/>
  <c r="K81" i="1" s="1"/>
  <c r="E81" i="1"/>
  <c r="F80" i="1"/>
  <c r="D81" i="1"/>
  <c r="P82" i="1"/>
  <c r="I82" i="1"/>
  <c r="D49" i="1"/>
  <c r="E49" i="1" s="1"/>
  <c r="C50" i="1"/>
  <c r="O83" i="1"/>
  <c r="L83" i="1"/>
  <c r="H83" i="1"/>
  <c r="C84" i="1"/>
  <c r="J82" i="1" l="1"/>
  <c r="K82" i="1" s="1"/>
  <c r="O84" i="1"/>
  <c r="L84" i="1"/>
  <c r="C85" i="1"/>
  <c r="H84" i="1"/>
  <c r="D82" i="1"/>
  <c r="E82" i="1"/>
  <c r="F81" i="1"/>
  <c r="C51" i="1"/>
  <c r="D50" i="1"/>
  <c r="E50" i="1" s="1"/>
  <c r="L85" i="1" l="1"/>
  <c r="C86" i="1"/>
  <c r="O85" i="1"/>
  <c r="H85" i="1"/>
  <c r="F82" i="1"/>
  <c r="E83" i="1"/>
  <c r="D83" i="1"/>
  <c r="D51" i="1"/>
  <c r="E51" i="1" s="1"/>
  <c r="C52" i="1"/>
  <c r="C53" i="1" l="1"/>
  <c r="D52" i="1"/>
  <c r="E52" i="1" s="1"/>
  <c r="L86" i="1"/>
  <c r="H86" i="1"/>
  <c r="O86" i="1"/>
  <c r="C87" i="1"/>
  <c r="F83" i="1"/>
  <c r="G83" i="1" s="1"/>
  <c r="D84" i="1"/>
  <c r="E84" i="1"/>
  <c r="E85" i="1" l="1"/>
  <c r="D85" i="1"/>
  <c r="F84" i="1"/>
  <c r="G84" i="1" s="1"/>
  <c r="H87" i="1"/>
  <c r="C88" i="1"/>
  <c r="O87" i="1"/>
  <c r="L87" i="1"/>
  <c r="P83" i="1"/>
  <c r="I83" i="1"/>
  <c r="D53" i="1"/>
  <c r="E53" i="1" s="1"/>
  <c r="C54" i="1"/>
  <c r="J83" i="1" l="1"/>
  <c r="K83" i="1" s="1"/>
  <c r="M83" i="1" s="1"/>
  <c r="I84" i="1"/>
  <c r="P84" i="1"/>
  <c r="H88" i="1"/>
  <c r="C89" i="1"/>
  <c r="L88" i="1"/>
  <c r="O88" i="1"/>
  <c r="C55" i="1"/>
  <c r="D54" i="1"/>
  <c r="E54" i="1" s="1"/>
  <c r="F85" i="1"/>
  <c r="G85" i="1" s="1"/>
  <c r="E86" i="1"/>
  <c r="D86" i="1"/>
  <c r="J84" i="1" l="1"/>
  <c r="K84" i="1" s="1"/>
  <c r="M84" i="1" s="1"/>
  <c r="H89" i="1"/>
  <c r="C90" i="1"/>
  <c r="O89" i="1"/>
  <c r="L89" i="1"/>
  <c r="E87" i="1"/>
  <c r="D87" i="1"/>
  <c r="F86" i="1"/>
  <c r="G86" i="1" s="1"/>
  <c r="C56" i="1"/>
  <c r="D55" i="1"/>
  <c r="E55" i="1" s="1"/>
  <c r="I85" i="1"/>
  <c r="P85" i="1"/>
  <c r="I86" i="1" l="1"/>
  <c r="P86" i="1"/>
  <c r="E88" i="1"/>
  <c r="D88" i="1"/>
  <c r="F87" i="1"/>
  <c r="G87" i="1" s="1"/>
  <c r="L90" i="1"/>
  <c r="H90" i="1"/>
  <c r="C91" i="1"/>
  <c r="O90" i="1"/>
  <c r="J85" i="1"/>
  <c r="K85" i="1" s="1"/>
  <c r="M85" i="1" s="1"/>
  <c r="C57" i="1"/>
  <c r="D56" i="1"/>
  <c r="E56" i="1" s="1"/>
  <c r="O91" i="1" l="1"/>
  <c r="C92" i="1"/>
  <c r="L91" i="1"/>
  <c r="H91" i="1"/>
  <c r="I87" i="1"/>
  <c r="P87" i="1"/>
  <c r="E89" i="1"/>
  <c r="F88" i="1"/>
  <c r="G88" i="1" s="1"/>
  <c r="D89" i="1"/>
  <c r="J86" i="1"/>
  <c r="K86" i="1"/>
  <c r="M86" i="1" s="1"/>
  <c r="D57" i="1"/>
  <c r="E57" i="1" s="1"/>
  <c r="C58" i="1"/>
  <c r="E90" i="1" l="1"/>
  <c r="F89" i="1"/>
  <c r="G89" i="1" s="1"/>
  <c r="D90" i="1"/>
  <c r="I88" i="1"/>
  <c r="P88" i="1"/>
  <c r="J87" i="1"/>
  <c r="K87" i="1" s="1"/>
  <c r="M87" i="1" s="1"/>
  <c r="D58" i="1"/>
  <c r="E58" i="1" s="1"/>
  <c r="C59" i="1"/>
  <c r="C93" i="1"/>
  <c r="O92" i="1"/>
  <c r="L92" i="1"/>
  <c r="H92" i="1"/>
  <c r="C60" i="1" l="1"/>
  <c r="D59" i="1"/>
  <c r="E59" i="1" s="1"/>
  <c r="J88" i="1"/>
  <c r="K88" i="1"/>
  <c r="M88" i="1" s="1"/>
  <c r="E91" i="1"/>
  <c r="F90" i="1"/>
  <c r="G90" i="1" s="1"/>
  <c r="D91" i="1"/>
  <c r="C94" i="1"/>
  <c r="L93" i="1"/>
  <c r="O93" i="1"/>
  <c r="H93" i="1"/>
  <c r="I89" i="1"/>
  <c r="P89" i="1"/>
  <c r="L94" i="1" l="1"/>
  <c r="H94" i="1"/>
  <c r="C95" i="1"/>
  <c r="O94" i="1"/>
  <c r="P90" i="1"/>
  <c r="I90" i="1"/>
  <c r="J89" i="1"/>
  <c r="K89" i="1" s="1"/>
  <c r="M89" i="1" s="1"/>
  <c r="E92" i="1"/>
  <c r="F91" i="1"/>
  <c r="G91" i="1" s="1"/>
  <c r="D92" i="1"/>
  <c r="C61" i="1"/>
  <c r="D60" i="1"/>
  <c r="E60" i="1" s="1"/>
  <c r="J90" i="1" l="1"/>
  <c r="K90" i="1" s="1"/>
  <c r="M90" i="1" s="1"/>
  <c r="D61" i="1"/>
  <c r="E61" i="1" s="1"/>
  <c r="C62" i="1"/>
  <c r="E93" i="1"/>
  <c r="F92" i="1"/>
  <c r="G92" i="1" s="1"/>
  <c r="D93" i="1"/>
  <c r="O95" i="1"/>
  <c r="L95" i="1"/>
  <c r="H95" i="1"/>
  <c r="C96" i="1"/>
  <c r="P91" i="1"/>
  <c r="I91" i="1"/>
  <c r="D62" i="1" l="1"/>
  <c r="E62" i="1" s="1"/>
  <c r="C63" i="1"/>
  <c r="D63" i="1" s="1"/>
  <c r="J91" i="1"/>
  <c r="K91" i="1" s="1"/>
  <c r="M91" i="1" s="1"/>
  <c r="O96" i="1"/>
  <c r="L96" i="1"/>
  <c r="H96" i="1"/>
  <c r="C97" i="1"/>
  <c r="P92" i="1"/>
  <c r="I92" i="1"/>
  <c r="D94" i="1"/>
  <c r="E94" i="1"/>
  <c r="F93" i="1"/>
  <c r="G93" i="1" s="1"/>
  <c r="L97" i="1" l="1"/>
  <c r="C98" i="1"/>
  <c r="O97" i="1"/>
  <c r="H97" i="1"/>
  <c r="I93" i="1"/>
  <c r="P93" i="1"/>
  <c r="E63" i="1"/>
  <c r="E64" i="1" s="1"/>
  <c r="D64" i="1"/>
  <c r="F94" i="1"/>
  <c r="G94" i="1" s="1"/>
  <c r="E95" i="1"/>
  <c r="D95" i="1"/>
  <c r="J92" i="1"/>
  <c r="K92" i="1" s="1"/>
  <c r="M92" i="1" s="1"/>
  <c r="P94" i="1" l="1"/>
  <c r="I94" i="1"/>
  <c r="J93" i="1"/>
  <c r="K93" i="1" s="1"/>
  <c r="M93" i="1" s="1"/>
  <c r="C99" i="1"/>
  <c r="L98" i="1"/>
  <c r="H98" i="1"/>
  <c r="O98" i="1"/>
  <c r="E96" i="1"/>
  <c r="D96" i="1"/>
  <c r="F95" i="1"/>
  <c r="G95" i="1" s="1"/>
  <c r="E97" i="1" l="1"/>
  <c r="F96" i="1"/>
  <c r="G96" i="1" s="1"/>
  <c r="D97" i="1"/>
  <c r="H99" i="1"/>
  <c r="O99" i="1"/>
  <c r="L99" i="1"/>
  <c r="C100" i="1"/>
  <c r="J94" i="1"/>
  <c r="K94" i="1" s="1"/>
  <c r="M94" i="1" s="1"/>
  <c r="P95" i="1"/>
  <c r="I95" i="1"/>
  <c r="I96" i="1" l="1"/>
  <c r="P96" i="1"/>
  <c r="O100" i="1"/>
  <c r="O101" i="1" s="1"/>
  <c r="H100" i="1"/>
  <c r="L100" i="1"/>
  <c r="J95" i="1"/>
  <c r="K95" i="1"/>
  <c r="M95" i="1" s="1"/>
  <c r="D98" i="1"/>
  <c r="E98" i="1"/>
  <c r="F97" i="1"/>
  <c r="G97" i="1" s="1"/>
  <c r="I97" i="1" l="1"/>
  <c r="P97" i="1"/>
  <c r="J96" i="1"/>
  <c r="K96" i="1" s="1"/>
  <c r="M96" i="1" s="1"/>
  <c r="F98" i="1"/>
  <c r="G98" i="1" s="1"/>
  <c r="E99" i="1"/>
  <c r="D99" i="1"/>
  <c r="F99" i="1" l="1"/>
  <c r="G99" i="1" s="1"/>
  <c r="E100" i="1"/>
  <c r="F100" i="1" s="1"/>
  <c r="G100" i="1" s="1"/>
  <c r="D100" i="1"/>
  <c r="I98" i="1"/>
  <c r="P98" i="1"/>
  <c r="J97" i="1"/>
  <c r="K97" i="1" s="1"/>
  <c r="M97" i="1" s="1"/>
  <c r="J98" i="1" l="1"/>
  <c r="K98" i="1" s="1"/>
  <c r="M98" i="1" s="1"/>
  <c r="I100" i="1"/>
  <c r="P100" i="1"/>
  <c r="P99" i="1"/>
  <c r="I99" i="1"/>
  <c r="J99" i="1" l="1"/>
  <c r="K99" i="1" s="1"/>
  <c r="M99" i="1" s="1"/>
  <c r="P101" i="1"/>
  <c r="J100" i="1"/>
  <c r="K100" i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F554905A-6754-4CE4-ACF4-54C6404125C4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FB1F900C-A00C-47A4-B4B8-9AEC24206B6B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<sst xmlns="http://schemas.openxmlformats.org/spreadsheetml/2006/main" count="102" uniqueCount="97">
  <si>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 xml:space="preserve">HT Category - 7: Bulk supply within the State </t>
  </si>
  <si>
    <t xml:space="preserve">Applicability: </t>
  </si>
  <si>
    <t xml:space="preserve">Applicability: Applicable for HT Consumers having single point metering of mixed load of housing complex, multi-storeyed building, Military Engineering Service (MES), Border
Road Task Force (BRTF), etc. where the supply is used predominantly for domestic purpose (with domestic load not less than 85 % of the total load) and internal
maintenance of power supply is carried out by the bulk consumers themselves, Tariff Rate applicable is as follows: </t>
  </si>
  <si>
    <t>HT Category - 7: Bulk supply within the State 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</si>
  <si>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</si>
  <si>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</si>
  <si>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</si>
  <si>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</si>
  <si>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</si>
  <si>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</si>
  <si>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</si>
  <si>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 Bulk supply within the State (HT)</t>
  </si>
  <si>
    <t>Load:Bulk supply within the State(HT)</t>
  </si>
  <si>
    <t xml:space="preserve">150,000 – 400,000 </t>
  </si>
  <si>
    <t>Kwh</t>
  </si>
  <si>
    <t>Usage Profile</t>
  </si>
  <si>
    <t>Monthly kWh</t>
  </si>
  <si>
    <t>Remarks</t>
  </si>
  <si>
    <t>Contracted Load</t>
  </si>
  <si>
    <t>kVA</t>
  </si>
  <si>
    <t>Low bulk usage</t>
  </si>
  <si>
    <t>50,000 – 150,000 kWh</t>
  </si>
  <si>
    <t>Smaller housing clusters</t>
  </si>
  <si>
    <t>Installation Date</t>
  </si>
  <si>
    <t>Date</t>
  </si>
  <si>
    <t>Moderate bulk usage</t>
  </si>
  <si>
    <t>150,000 – 400,000 kWh</t>
  </si>
  <si>
    <t>Typical township / large colony</t>
  </si>
  <si>
    <t>Multiplying Factor</t>
  </si>
  <si>
    <t>Higher bulk usage</t>
  </si>
  <si>
    <t>400,000 – 900,000 kWh</t>
  </si>
  <si>
    <t>Large campuses with common services</t>
  </si>
  <si>
    <t>Current Month days</t>
  </si>
  <si>
    <t>Days</t>
  </si>
  <si>
    <t>Heavy bulk usage</t>
  </si>
  <si>
    <t>900,000 – 2,000,000 kWh</t>
  </si>
  <si>
    <t>Mega townships, multiple blocks</t>
  </si>
  <si>
    <t>Last Date of Month</t>
  </si>
  <si>
    <t>Bill Days</t>
  </si>
  <si>
    <t>Including Installation Day</t>
  </si>
  <si>
    <t>Bill factor</t>
  </si>
  <si>
    <t>Power Factor</t>
  </si>
  <si>
    <t>Type of Bulk Supply Consumer</t>
  </si>
  <si>
    <t>Typical Range (kVA)</t>
  </si>
  <si>
    <t>Modelling Sweet Spot</t>
  </si>
  <si>
    <t>Opening Balance</t>
  </si>
  <si>
    <t>Contract Demand</t>
  </si>
  <si>
    <t>KVA</t>
  </si>
  <si>
    <t>Small housing complex / MES pocket / small campus</t>
  </si>
  <si>
    <t>100 – 250 kVA</t>
  </si>
  <si>
    <t>150 kVA</t>
  </si>
  <si>
    <t>Max Demand</t>
  </si>
  <si>
    <t>Medium housing colony / multi-block residential</t>
  </si>
  <si>
    <t>250 – 600 kVA</t>
  </si>
  <si>
    <t>400 kVA</t>
  </si>
  <si>
    <t>STEP2:</t>
  </si>
  <si>
    <t>Calculate Fixed Charges</t>
  </si>
  <si>
    <t>Large township / large MES / BRTF campus</t>
  </si>
  <si>
    <t>600 – 1,200 kVA</t>
  </si>
  <si>
    <t>800 kVA</t>
  </si>
  <si>
    <t>Demand Charge ( revised)</t>
  </si>
  <si>
    <t>Very large mixed housing campus / multiple transformers</t>
  </si>
  <si>
    <t>1,200 – 2,500 kVA</t>
  </si>
  <si>
    <t>1,800 kVA</t>
  </si>
  <si>
    <t>Adjusted Fixed Charges for month</t>
  </si>
  <si>
    <t>// Existing Fixed Charges * Bill Factor//</t>
  </si>
  <si>
    <t>Mega township / defence campus (often special feeders)</t>
  </si>
  <si>
    <t>2,500 – 5,000 kVA</t>
  </si>
  <si>
    <t>3,500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</si>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</sst>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08FB-39B6-4668-A823-CB245816246A}">
  <sheetPr>
    <tabColor rgb="FF00B0F0"/>
  </sheetPr>
  <dimension ref="B1:R128"/>
  <sheetViews>
    <sheetView showGridLines="0" tabSelected="1" topLeftCell="H63" zoomScaleNormal="100" workbookViewId="0">
      <selection activeCell="C5" sqref="C5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5" width="28" customWidth="1"/>
    <col min="16" max="16" width="28.6640625" customWidth="1"/>
    <col min="17" max="17" width="29.33203125" customWidth="1"/>
    <col min="18" max="18" width="40.6640625" customWidth="1"/>
  </cols>
  <sheetData>
    <row r="1" spans="2:18" ht="16.2" customHeight="1" x14ac:dyDescent="0.3">
      <c r="B1" s="1" t="s">
        <v>0</v>
      </c>
      <c r="C1" s="1"/>
    </row>
    <row r="2" spans="2:18" ht="51" customHeight="1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6.85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90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400</v>
      </c>
      <c r="E14" t="s">
        <v>19</v>
      </c>
      <c r="P14" s="23" t="s">
        <v>20</v>
      </c>
      <c r="Q14" s="24" t="s">
        <v>21</v>
      </c>
      <c r="R14" s="24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4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4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4" t="s">
        <v>36</v>
      </c>
    </row>
    <row r="18" spans="2:18" ht="14.4" x14ac:dyDescent="0.3">
      <c r="C18" t="s">
        <v>37</v>
      </c>
      <c r="D18" s="26">
        <f>EOMONTH(D15,0)</f>
        <v>46022</v>
      </c>
      <c r="P18" s="23"/>
      <c r="Q18" s="24"/>
      <c r="R18" s="24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1000000</v>
      </c>
      <c r="I22" s="30"/>
      <c r="J22" s="31" t="s">
        <v>46</v>
      </c>
      <c r="K22" s="32">
        <f>D14</f>
        <v>400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450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36000</v>
      </c>
      <c r="I25" s="34"/>
      <c r="J25" s="20" t="s">
        <v>60</v>
      </c>
      <c r="K25" s="37">
        <f>MAX(K22,K23)*E7</f>
        <v>40500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20905.2</v>
      </c>
      <c r="F26" t="s">
        <v>65</v>
      </c>
      <c r="I26" s="34"/>
      <c r="J26" s="20" t="s">
        <v>64</v>
      </c>
      <c r="K26" s="37">
        <f>K25*D20</f>
        <v>23518.35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1161.4000000000001</v>
      </c>
      <c r="F27" t="s">
        <v>70</v>
      </c>
      <c r="I27" s="34"/>
      <c r="J27" s="20" t="s">
        <v>71</v>
      </c>
      <c r="K27" s="37">
        <f>K26/D19</f>
        <v>1306.5749999999998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7900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8000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/>
      <c r="G35" s="46">
        <v>8100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7900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8200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8300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8100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7900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/>
      <c r="G41" s="46">
        <v>8000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7900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8300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7900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8000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8100</v>
      </c>
      <c r="E46" s="45">
        <f t="shared" si="0"/>
        <v>8181.818181818182</v>
      </c>
      <c r="F46" s="45"/>
      <c r="G46" s="46">
        <v>8100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7900</v>
      </c>
      <c r="E47" s="45">
        <f t="shared" si="0"/>
        <v>7979.7979797979797</v>
      </c>
      <c r="F47" s="45"/>
      <c r="G47" s="46">
        <v>7900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8400</v>
      </c>
      <c r="E48" s="45">
        <f t="shared" si="0"/>
        <v>8484.8484848484841</v>
      </c>
      <c r="F48" s="45"/>
      <c r="G48" s="46">
        <v>8400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7900</v>
      </c>
      <c r="E49" s="45">
        <f t="shared" si="0"/>
        <v>7979.7979797979797</v>
      </c>
      <c r="F49" s="45"/>
      <c r="G49" s="46">
        <v>7900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8000</v>
      </c>
      <c r="E50" s="45">
        <f t="shared" si="0"/>
        <v>8080.8080808080813</v>
      </c>
      <c r="F50" s="50">
        <v>450</v>
      </c>
      <c r="G50" s="46">
        <v>8000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7900</v>
      </c>
      <c r="E51" s="45">
        <f t="shared" si="0"/>
        <v>7979.7979797979797</v>
      </c>
      <c r="F51" s="45"/>
      <c r="G51" s="46">
        <v>7900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8200</v>
      </c>
      <c r="E52" s="45">
        <f t="shared" si="0"/>
        <v>8282.8282828282827</v>
      </c>
      <c r="F52" s="45"/>
      <c r="G52" s="46">
        <v>8200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8300</v>
      </c>
      <c r="E53" s="45">
        <f t="shared" si="0"/>
        <v>8383.8383838383834</v>
      </c>
      <c r="F53" s="45"/>
      <c r="G53" s="46">
        <v>8300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7900</v>
      </c>
      <c r="E54" s="45">
        <f t="shared" si="0"/>
        <v>7979.7979797979797</v>
      </c>
      <c r="F54" s="45"/>
      <c r="G54" s="46">
        <v>7900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8000</v>
      </c>
      <c r="E55" s="45">
        <f t="shared" si="0"/>
        <v>8080.8080808080813</v>
      </c>
      <c r="F55" s="45"/>
      <c r="G55" s="46">
        <v>8000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8500</v>
      </c>
      <c r="E56" s="45">
        <f t="shared" si="0"/>
        <v>8585.8585858585866</v>
      </c>
      <c r="F56" s="45"/>
      <c r="G56" s="46">
        <v>8500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8800</v>
      </c>
      <c r="E57" s="45">
        <f t="shared" si="0"/>
        <v>8888.8888888888887</v>
      </c>
      <c r="F57" s="45"/>
      <c r="G57" s="46">
        <v>8800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7900</v>
      </c>
      <c r="E58" s="45">
        <f t="shared" si="0"/>
        <v>7979.7979797979797</v>
      </c>
      <c r="F58" s="45"/>
      <c r="G58" s="46">
        <v>7900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7800</v>
      </c>
      <c r="E59" s="45">
        <f t="shared" si="0"/>
        <v>7878.787878787879</v>
      </c>
      <c r="F59" s="45"/>
      <c r="G59" s="46">
        <v>7800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8000</v>
      </c>
      <c r="E60" s="45">
        <f t="shared" si="0"/>
        <v>8080.8080808080813</v>
      </c>
      <c r="F60" s="45"/>
      <c r="G60" s="46">
        <v>8000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7900</v>
      </c>
      <c r="E61" s="45">
        <f t="shared" si="0"/>
        <v>7979.7979797979797</v>
      </c>
      <c r="F61" s="45"/>
      <c r="G61" s="46">
        <v>7900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8000</v>
      </c>
      <c r="E62" s="45">
        <f t="shared" si="0"/>
        <v>8080.8080808080813</v>
      </c>
      <c r="F62" s="45"/>
      <c r="G62" s="46">
        <v>8000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8300</v>
      </c>
      <c r="E63" s="45">
        <f t="shared" si="0"/>
        <v>8383.8383838383834</v>
      </c>
      <c r="F63" s="45"/>
      <c r="G63" s="46">
        <v>8300</v>
      </c>
      <c r="H63" s="47"/>
      <c r="I63" s="48"/>
      <c r="J63" s="49"/>
    </row>
    <row r="64" spans="3:10" ht="16.2" customHeight="1" x14ac:dyDescent="0.3">
      <c r="C64" s="51"/>
      <c r="D64" s="52">
        <f>SUM(D33:D63)</f>
        <v>145800</v>
      </c>
      <c r="E64" s="52">
        <f>SUM(E33:E63)</f>
        <v>147272.72727272726</v>
      </c>
      <c r="F64" s="52">
        <f>MAX(F33:F63)</f>
        <v>450</v>
      </c>
      <c r="G64" s="52">
        <f>SUM(G33:G63)</f>
        <v>250300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1000000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8181.818181818182</v>
      </c>
      <c r="F83" s="66">
        <f t="shared" si="15"/>
        <v>8181.818181818182</v>
      </c>
      <c r="G83" s="67">
        <f t="shared" si="3"/>
        <v>56045.454545454544</v>
      </c>
      <c r="H83" s="68">
        <f t="shared" si="4"/>
        <v>1161.4000000000001</v>
      </c>
      <c r="I83" s="69">
        <f t="shared" si="5"/>
        <v>57206.854500000001</v>
      </c>
      <c r="J83" s="69">
        <f t="shared" si="6"/>
        <v>1144.1369999999999</v>
      </c>
      <c r="K83" s="69">
        <f t="shared" si="7"/>
        <v>58350.991499999996</v>
      </c>
      <c r="L83" s="70">
        <f t="shared" si="8"/>
        <v>1000000</v>
      </c>
      <c r="M83" s="59">
        <f t="shared" si="9"/>
        <v>941649.0085</v>
      </c>
      <c r="N83" s="59"/>
      <c r="O83" s="68">
        <f t="shared" si="10"/>
        <v>1306.5749999999998</v>
      </c>
      <c r="P83" s="68">
        <f t="shared" si="12"/>
        <v>1147.040590909091</v>
      </c>
    </row>
    <row r="84" spans="3:16" ht="16.2" customHeight="1" x14ac:dyDescent="0.3">
      <c r="C84" s="51">
        <f t="shared" si="13"/>
        <v>46006</v>
      </c>
      <c r="D84" s="66">
        <f t="shared" si="14"/>
        <v>8181.818181818182</v>
      </c>
      <c r="E84" s="66">
        <f t="shared" si="11"/>
        <v>16161.616161616163</v>
      </c>
      <c r="F84" s="66">
        <f t="shared" si="15"/>
        <v>7979.7979797979806</v>
      </c>
      <c r="G84" s="67">
        <f t="shared" si="3"/>
        <v>54661.616161616163</v>
      </c>
      <c r="H84" s="68">
        <f t="shared" si="4"/>
        <v>1161.4000000000001</v>
      </c>
      <c r="I84" s="69">
        <f t="shared" si="5"/>
        <v>55823.016100000001</v>
      </c>
      <c r="J84" s="69">
        <f t="shared" si="6"/>
        <v>1116.4603</v>
      </c>
      <c r="K84" s="69">
        <f t="shared" si="7"/>
        <v>56939.4764</v>
      </c>
      <c r="L84" s="70">
        <f t="shared" si="8"/>
        <v>0</v>
      </c>
      <c r="M84" s="59">
        <f t="shared" si="9"/>
        <v>884709.53209999995</v>
      </c>
      <c r="N84" s="59"/>
      <c r="O84" s="68">
        <f t="shared" si="10"/>
        <v>1306.5749999999998</v>
      </c>
      <c r="P84" s="68">
        <f t="shared" si="12"/>
        <v>1119.3638232323233</v>
      </c>
    </row>
    <row r="85" spans="3:16" ht="16.2" customHeight="1" x14ac:dyDescent="0.3">
      <c r="C85" s="51">
        <f t="shared" si="13"/>
        <v>46007</v>
      </c>
      <c r="D85" s="66">
        <f t="shared" si="14"/>
        <v>16161.616161616163</v>
      </c>
      <c r="E85" s="66">
        <f t="shared" si="11"/>
        <v>24646.464646464647</v>
      </c>
      <c r="F85" s="66">
        <f t="shared" si="15"/>
        <v>8484.8484848484841</v>
      </c>
      <c r="G85" s="67">
        <f t="shared" si="3"/>
        <v>58121.212121212113</v>
      </c>
      <c r="H85" s="68">
        <f t="shared" si="4"/>
        <v>1161.4000000000001</v>
      </c>
      <c r="I85" s="69">
        <f t="shared" si="5"/>
        <v>59282.612099999998</v>
      </c>
      <c r="J85" s="69">
        <f t="shared" si="6"/>
        <v>1185.6522</v>
      </c>
      <c r="K85" s="69">
        <f t="shared" si="7"/>
        <v>60468.264300000003</v>
      </c>
      <c r="L85" s="70">
        <f t="shared" si="8"/>
        <v>0</v>
      </c>
      <c r="M85" s="59">
        <f t="shared" si="9"/>
        <v>824241.26779999991</v>
      </c>
      <c r="N85" s="59"/>
      <c r="O85" s="68">
        <f t="shared" si="10"/>
        <v>1306.5749999999998</v>
      </c>
      <c r="P85" s="68">
        <f t="shared" si="12"/>
        <v>1188.5557424242422</v>
      </c>
    </row>
    <row r="86" spans="3:16" ht="16.2" customHeight="1" x14ac:dyDescent="0.3">
      <c r="C86" s="51">
        <f t="shared" si="13"/>
        <v>46008</v>
      </c>
      <c r="D86" s="66">
        <f t="shared" si="14"/>
        <v>24646.464646464647</v>
      </c>
      <c r="E86" s="66">
        <f t="shared" si="11"/>
        <v>32626.262626262625</v>
      </c>
      <c r="F86" s="66">
        <f t="shared" si="15"/>
        <v>7979.7979797979788</v>
      </c>
      <c r="G86" s="67">
        <f t="shared" si="3"/>
        <v>54661.616161616155</v>
      </c>
      <c r="H86" s="68">
        <f t="shared" si="4"/>
        <v>1161.4000000000001</v>
      </c>
      <c r="I86" s="69">
        <f t="shared" si="5"/>
        <v>55823.016100000001</v>
      </c>
      <c r="J86" s="69">
        <f t="shared" si="6"/>
        <v>1116.4603</v>
      </c>
      <c r="K86" s="69">
        <f t="shared" si="7"/>
        <v>56939.4764</v>
      </c>
      <c r="L86" s="70">
        <f t="shared" si="8"/>
        <v>0</v>
      </c>
      <c r="M86" s="59">
        <f t="shared" si="9"/>
        <v>767301.79139999987</v>
      </c>
      <c r="N86" s="59"/>
      <c r="O86" s="68">
        <f t="shared" si="10"/>
        <v>1306.5749999999998</v>
      </c>
      <c r="P86" s="68">
        <f t="shared" si="12"/>
        <v>1119.3638232323231</v>
      </c>
    </row>
    <row r="87" spans="3:16" ht="16.2" customHeight="1" x14ac:dyDescent="0.3">
      <c r="C87" s="51">
        <f t="shared" si="13"/>
        <v>46009</v>
      </c>
      <c r="D87" s="66">
        <f t="shared" si="14"/>
        <v>32626.262626262625</v>
      </c>
      <c r="E87" s="66">
        <f t="shared" si="11"/>
        <v>40707.070707070707</v>
      </c>
      <c r="F87" s="66">
        <f t="shared" si="15"/>
        <v>8080.8080808080813</v>
      </c>
      <c r="G87" s="67">
        <f t="shared" si="3"/>
        <v>55353.535353535357</v>
      </c>
      <c r="H87" s="68">
        <f t="shared" si="4"/>
        <v>1161.4000000000001</v>
      </c>
      <c r="I87" s="69">
        <f t="shared" si="5"/>
        <v>56514.935299999997</v>
      </c>
      <c r="J87" s="69">
        <f t="shared" si="6"/>
        <v>1130.2987000000001</v>
      </c>
      <c r="K87" s="69">
        <f t="shared" si="7"/>
        <v>57645.233999999997</v>
      </c>
      <c r="L87" s="70">
        <f t="shared" si="8"/>
        <v>0</v>
      </c>
      <c r="M87" s="59">
        <f t="shared" si="9"/>
        <v>709656.55739999982</v>
      </c>
      <c r="N87" s="59"/>
      <c r="O87" s="68">
        <f t="shared" si="10"/>
        <v>1306.5749999999998</v>
      </c>
      <c r="P87" s="68">
        <f t="shared" si="12"/>
        <v>1133.2022070707071</v>
      </c>
    </row>
    <row r="88" spans="3:16" ht="16.2" customHeight="1" x14ac:dyDescent="0.3">
      <c r="C88" s="51">
        <f t="shared" si="13"/>
        <v>46010</v>
      </c>
      <c r="D88" s="66">
        <f t="shared" si="14"/>
        <v>40707.070707070707</v>
      </c>
      <c r="E88" s="66">
        <f t="shared" si="11"/>
        <v>48686.868686868685</v>
      </c>
      <c r="F88" s="66">
        <f t="shared" si="15"/>
        <v>7979.7979797979788</v>
      </c>
      <c r="G88" s="67">
        <f t="shared" si="3"/>
        <v>54661.616161616155</v>
      </c>
      <c r="H88" s="68">
        <f t="shared" si="4"/>
        <v>1161.4000000000001</v>
      </c>
      <c r="I88" s="69">
        <f t="shared" si="5"/>
        <v>55823.016100000001</v>
      </c>
      <c r="J88" s="69">
        <f t="shared" si="6"/>
        <v>1116.4603</v>
      </c>
      <c r="K88" s="69">
        <f t="shared" si="7"/>
        <v>56939.4764</v>
      </c>
      <c r="L88" s="70">
        <f t="shared" si="8"/>
        <v>0</v>
      </c>
      <c r="M88" s="59">
        <f t="shared" si="9"/>
        <v>652717.08099999977</v>
      </c>
      <c r="N88" s="59"/>
      <c r="O88" s="68">
        <f t="shared" si="10"/>
        <v>1306.5749999999998</v>
      </c>
      <c r="P88" s="68">
        <f t="shared" si="12"/>
        <v>1119.3638232323231</v>
      </c>
    </row>
    <row r="89" spans="3:16" ht="16.2" customHeight="1" x14ac:dyDescent="0.3">
      <c r="C89" s="51">
        <f t="shared" si="13"/>
        <v>46011</v>
      </c>
      <c r="D89" s="66">
        <f t="shared" si="14"/>
        <v>48686.868686868685</v>
      </c>
      <c r="E89" s="66">
        <f t="shared" si="11"/>
        <v>56969.696969696968</v>
      </c>
      <c r="F89" s="66">
        <f t="shared" si="15"/>
        <v>8282.8282828282827</v>
      </c>
      <c r="G89" s="67">
        <f t="shared" si="3"/>
        <v>56737.373737373731</v>
      </c>
      <c r="H89" s="68">
        <f t="shared" si="4"/>
        <v>1161.4000000000001</v>
      </c>
      <c r="I89" s="69">
        <f t="shared" si="5"/>
        <v>57898.773699999998</v>
      </c>
      <c r="J89" s="69">
        <f t="shared" si="6"/>
        <v>1157.9754</v>
      </c>
      <c r="K89" s="69">
        <f t="shared" si="7"/>
        <v>59056.749100000001</v>
      </c>
      <c r="L89" s="70">
        <f t="shared" si="8"/>
        <v>0</v>
      </c>
      <c r="M89" s="59">
        <f t="shared" si="9"/>
        <v>593660.33189999976</v>
      </c>
      <c r="N89" s="59"/>
      <c r="O89" s="68">
        <f t="shared" si="10"/>
        <v>1306.5749999999998</v>
      </c>
      <c r="P89" s="68">
        <f t="shared" si="12"/>
        <v>1160.8789747474746</v>
      </c>
    </row>
    <row r="90" spans="3:16" ht="16.2" customHeight="1" x14ac:dyDescent="0.3">
      <c r="C90" s="51">
        <f t="shared" si="13"/>
        <v>46012</v>
      </c>
      <c r="D90" s="66">
        <f t="shared" si="14"/>
        <v>56969.696969696968</v>
      </c>
      <c r="E90" s="66">
        <f t="shared" si="11"/>
        <v>65353.53535353535</v>
      </c>
      <c r="F90" s="66">
        <f t="shared" si="15"/>
        <v>8383.8383838383816</v>
      </c>
      <c r="G90" s="67">
        <f t="shared" si="3"/>
        <v>57429.292929292911</v>
      </c>
      <c r="H90" s="68">
        <f t="shared" si="4"/>
        <v>1161.4000000000001</v>
      </c>
      <c r="I90" s="69">
        <f t="shared" si="5"/>
        <v>58590.692900000002</v>
      </c>
      <c r="J90" s="69">
        <f t="shared" si="6"/>
        <v>1171.8137999999999</v>
      </c>
      <c r="K90" s="69">
        <f t="shared" si="7"/>
        <v>59762.506699999998</v>
      </c>
      <c r="L90" s="70">
        <f t="shared" si="8"/>
        <v>0</v>
      </c>
      <c r="M90" s="59">
        <f t="shared" si="9"/>
        <v>533897.82519999973</v>
      </c>
      <c r="N90" s="59"/>
      <c r="O90" s="68">
        <f t="shared" si="10"/>
        <v>1306.5749999999998</v>
      </c>
      <c r="P90" s="68">
        <f t="shared" si="12"/>
        <v>1174.7173585858582</v>
      </c>
    </row>
    <row r="91" spans="3:16" ht="16.2" customHeight="1" x14ac:dyDescent="0.3">
      <c r="C91" s="51">
        <f t="shared" si="13"/>
        <v>46013</v>
      </c>
      <c r="D91" s="66">
        <f t="shared" si="14"/>
        <v>65353.53535353535</v>
      </c>
      <c r="E91" s="66">
        <f t="shared" si="11"/>
        <v>73333.333333333328</v>
      </c>
      <c r="F91" s="66">
        <f t="shared" si="15"/>
        <v>7979.7979797979788</v>
      </c>
      <c r="G91" s="67">
        <f t="shared" si="3"/>
        <v>54661.616161616155</v>
      </c>
      <c r="H91" s="68">
        <f t="shared" si="4"/>
        <v>1161.4000000000001</v>
      </c>
      <c r="I91" s="69">
        <f t="shared" si="5"/>
        <v>55823.016100000001</v>
      </c>
      <c r="J91" s="69">
        <f t="shared" si="6"/>
        <v>1116.4603</v>
      </c>
      <c r="K91" s="69">
        <f t="shared" si="7"/>
        <v>56939.4764</v>
      </c>
      <c r="L91" s="70">
        <f t="shared" si="8"/>
        <v>0</v>
      </c>
      <c r="M91" s="59">
        <f t="shared" si="9"/>
        <v>476958.34879999975</v>
      </c>
      <c r="N91" s="59"/>
      <c r="O91" s="68">
        <f t="shared" si="10"/>
        <v>1306.5749999999998</v>
      </c>
      <c r="P91" s="68">
        <f t="shared" si="12"/>
        <v>1119.3638232323231</v>
      </c>
    </row>
    <row r="92" spans="3:16" ht="16.2" customHeight="1" x14ac:dyDescent="0.3">
      <c r="C92" s="51">
        <f t="shared" si="13"/>
        <v>46014</v>
      </c>
      <c r="D92" s="66">
        <f t="shared" si="14"/>
        <v>73333.333333333328</v>
      </c>
      <c r="E92" s="66">
        <f t="shared" si="11"/>
        <v>81414.141414141413</v>
      </c>
      <c r="F92" s="66">
        <f t="shared" si="15"/>
        <v>8080.8080808080849</v>
      </c>
      <c r="G92" s="67">
        <f t="shared" si="3"/>
        <v>55353.535353535379</v>
      </c>
      <c r="H92" s="68">
        <f t="shared" si="4"/>
        <v>1161.4000000000001</v>
      </c>
      <c r="I92" s="69">
        <f t="shared" si="5"/>
        <v>56514.935299999997</v>
      </c>
      <c r="J92" s="69">
        <f t="shared" si="6"/>
        <v>1130.2987000000001</v>
      </c>
      <c r="K92" s="69">
        <f t="shared" si="7"/>
        <v>57645.233999999997</v>
      </c>
      <c r="L92" s="70">
        <f t="shared" si="8"/>
        <v>0</v>
      </c>
      <c r="M92" s="59">
        <f t="shared" si="9"/>
        <v>419313.11479999975</v>
      </c>
      <c r="N92" s="59"/>
      <c r="O92" s="68">
        <f t="shared" si="10"/>
        <v>1306.5749999999998</v>
      </c>
      <c r="P92" s="68">
        <f t="shared" si="12"/>
        <v>1133.2022070707076</v>
      </c>
    </row>
    <row r="93" spans="3:16" ht="16.2" customHeight="1" x14ac:dyDescent="0.3">
      <c r="C93" s="51">
        <f t="shared" si="13"/>
        <v>46015</v>
      </c>
      <c r="D93" s="66">
        <f t="shared" si="14"/>
        <v>81414.141414141413</v>
      </c>
      <c r="E93" s="66">
        <f t="shared" si="11"/>
        <v>90000</v>
      </c>
      <c r="F93" s="66">
        <f t="shared" si="15"/>
        <v>8585.8585858585866</v>
      </c>
      <c r="G93" s="67">
        <f t="shared" si="3"/>
        <v>58813.131313131315</v>
      </c>
      <c r="H93" s="68">
        <f t="shared" si="4"/>
        <v>1161.4000000000001</v>
      </c>
      <c r="I93" s="69">
        <f t="shared" si="5"/>
        <v>59974.531300000002</v>
      </c>
      <c r="J93" s="69">
        <f t="shared" si="6"/>
        <v>1199.4906000000001</v>
      </c>
      <c r="K93" s="69">
        <f t="shared" si="7"/>
        <v>61174.0219</v>
      </c>
      <c r="L93" s="70">
        <f t="shared" si="8"/>
        <v>0</v>
      </c>
      <c r="M93" s="59">
        <f t="shared" si="9"/>
        <v>358139.09289999976</v>
      </c>
      <c r="N93" s="59"/>
      <c r="O93" s="68">
        <f t="shared" si="10"/>
        <v>1306.5749999999998</v>
      </c>
      <c r="P93" s="68">
        <f t="shared" si="12"/>
        <v>1202.3941262626263</v>
      </c>
    </row>
    <row r="94" spans="3:16" ht="16.2" customHeight="1" x14ac:dyDescent="0.3">
      <c r="C94" s="51">
        <f t="shared" si="13"/>
        <v>46016</v>
      </c>
      <c r="D94" s="66">
        <f t="shared" si="14"/>
        <v>90000</v>
      </c>
      <c r="E94" s="66">
        <f t="shared" si="11"/>
        <v>98888.888888888891</v>
      </c>
      <c r="F94" s="66">
        <f t="shared" si="15"/>
        <v>8888.8888888888905</v>
      </c>
      <c r="G94" s="67">
        <f t="shared" si="3"/>
        <v>60888.888888888898</v>
      </c>
      <c r="H94" s="68">
        <f t="shared" si="4"/>
        <v>1161.4000000000001</v>
      </c>
      <c r="I94" s="69">
        <f t="shared" si="5"/>
        <v>62050.288800000002</v>
      </c>
      <c r="J94" s="69">
        <f t="shared" si="6"/>
        <v>1241.0056999999999</v>
      </c>
      <c r="K94" s="69">
        <f t="shared" si="7"/>
        <v>63291.294500000004</v>
      </c>
      <c r="L94" s="70">
        <f t="shared" si="8"/>
        <v>0</v>
      </c>
      <c r="M94" s="59">
        <f t="shared" si="9"/>
        <v>294847.79839999974</v>
      </c>
      <c r="N94" s="59"/>
      <c r="O94" s="68">
        <f t="shared" si="10"/>
        <v>1306.5749999999998</v>
      </c>
      <c r="P94" s="68">
        <f t="shared" si="12"/>
        <v>1243.909277777778</v>
      </c>
    </row>
    <row r="95" spans="3:16" ht="16.2" customHeight="1" x14ac:dyDescent="0.3">
      <c r="C95" s="51">
        <f t="shared" si="13"/>
        <v>46017</v>
      </c>
      <c r="D95" s="66">
        <f t="shared" si="14"/>
        <v>98888.888888888891</v>
      </c>
      <c r="E95" s="66">
        <f t="shared" si="11"/>
        <v>106868.68686868687</v>
      </c>
      <c r="F95" s="66">
        <f t="shared" si="15"/>
        <v>7979.7979797979788</v>
      </c>
      <c r="G95" s="67">
        <f t="shared" si="3"/>
        <v>54661.616161616155</v>
      </c>
      <c r="H95" s="68">
        <f t="shared" si="4"/>
        <v>1161.4000000000001</v>
      </c>
      <c r="I95" s="69">
        <f t="shared" si="5"/>
        <v>55823.016100000001</v>
      </c>
      <c r="J95" s="69">
        <f t="shared" si="6"/>
        <v>1116.4603</v>
      </c>
      <c r="K95" s="69">
        <f t="shared" si="7"/>
        <v>56939.4764</v>
      </c>
      <c r="L95" s="70">
        <f t="shared" si="8"/>
        <v>0</v>
      </c>
      <c r="M95" s="59">
        <f t="shared" si="9"/>
        <v>237908.32199999975</v>
      </c>
      <c r="N95" s="59"/>
      <c r="O95" s="68">
        <f t="shared" si="10"/>
        <v>1306.5749999999998</v>
      </c>
      <c r="P95" s="68">
        <f t="shared" si="12"/>
        <v>1119.3638232323231</v>
      </c>
    </row>
    <row r="96" spans="3:16" ht="16.2" customHeight="1" x14ac:dyDescent="0.3">
      <c r="C96" s="51">
        <f t="shared" si="13"/>
        <v>46018</v>
      </c>
      <c r="D96" s="66">
        <f t="shared" si="14"/>
        <v>106868.68686868687</v>
      </c>
      <c r="E96" s="66">
        <f t="shared" si="11"/>
        <v>114747.47474747474</v>
      </c>
      <c r="F96" s="66">
        <f t="shared" si="15"/>
        <v>7878.7878787878726</v>
      </c>
      <c r="G96" s="67">
        <f t="shared" si="3"/>
        <v>53969.696969696924</v>
      </c>
      <c r="H96" s="68">
        <f t="shared" si="4"/>
        <v>1161.4000000000001</v>
      </c>
      <c r="I96" s="69">
        <f t="shared" si="5"/>
        <v>55131.096899999997</v>
      </c>
      <c r="J96" s="69">
        <f t="shared" si="6"/>
        <v>1102.6219000000001</v>
      </c>
      <c r="K96" s="69">
        <f t="shared" si="7"/>
        <v>56233.718800000002</v>
      </c>
      <c r="L96" s="70">
        <f t="shared" si="8"/>
        <v>0</v>
      </c>
      <c r="M96" s="59">
        <f t="shared" si="9"/>
        <v>181674.60319999975</v>
      </c>
      <c r="N96" s="59"/>
      <c r="O96" s="68">
        <f t="shared" si="10"/>
        <v>1306.5749999999998</v>
      </c>
      <c r="P96" s="68">
        <f t="shared" si="12"/>
        <v>1105.5254393939385</v>
      </c>
    </row>
    <row r="97" spans="3:16" ht="16.2" customHeight="1" x14ac:dyDescent="0.3">
      <c r="C97" s="51">
        <f t="shared" si="13"/>
        <v>46019</v>
      </c>
      <c r="D97" s="66">
        <f t="shared" si="14"/>
        <v>114747.47474747474</v>
      </c>
      <c r="E97" s="66">
        <f t="shared" si="11"/>
        <v>122828.28282828283</v>
      </c>
      <c r="F97" s="66">
        <f t="shared" si="15"/>
        <v>8080.8080808080849</v>
      </c>
      <c r="G97" s="67">
        <f t="shared" si="3"/>
        <v>55353.535353535379</v>
      </c>
      <c r="H97" s="68">
        <f t="shared" si="4"/>
        <v>1161.4000000000001</v>
      </c>
      <c r="I97" s="69">
        <f t="shared" si="5"/>
        <v>56514.935299999997</v>
      </c>
      <c r="J97" s="69">
        <f t="shared" si="6"/>
        <v>1130.2987000000001</v>
      </c>
      <c r="K97" s="69">
        <f t="shared" si="7"/>
        <v>57645.233999999997</v>
      </c>
      <c r="L97" s="70">
        <f t="shared" si="8"/>
        <v>0</v>
      </c>
      <c r="M97" s="59">
        <f t="shared" si="9"/>
        <v>124029.36919999975</v>
      </c>
      <c r="N97" s="59"/>
      <c r="O97" s="68">
        <f t="shared" si="10"/>
        <v>1306.5749999999998</v>
      </c>
      <c r="P97" s="68">
        <f t="shared" si="12"/>
        <v>1133.2022070707076</v>
      </c>
    </row>
    <row r="98" spans="3:16" ht="16.2" customHeight="1" x14ac:dyDescent="0.3">
      <c r="C98" s="51">
        <f t="shared" si="13"/>
        <v>46020</v>
      </c>
      <c r="D98" s="66">
        <f t="shared" si="14"/>
        <v>122828.28282828283</v>
      </c>
      <c r="E98" s="66">
        <f t="shared" si="11"/>
        <v>130808.08080808081</v>
      </c>
      <c r="F98" s="66">
        <f t="shared" si="15"/>
        <v>7979.7979797979788</v>
      </c>
      <c r="G98" s="67">
        <f t="shared" si="3"/>
        <v>54661.616161616155</v>
      </c>
      <c r="H98" s="68">
        <f t="shared" si="4"/>
        <v>1161.4000000000001</v>
      </c>
      <c r="I98" s="69">
        <f t="shared" si="5"/>
        <v>55823.016100000001</v>
      </c>
      <c r="J98" s="69">
        <f t="shared" si="6"/>
        <v>1116.4603</v>
      </c>
      <c r="K98" s="69">
        <f t="shared" si="7"/>
        <v>56939.4764</v>
      </c>
      <c r="L98" s="70">
        <f t="shared" si="8"/>
        <v>0</v>
      </c>
      <c r="M98" s="59">
        <f t="shared" si="9"/>
        <v>67089.892799999754</v>
      </c>
      <c r="N98" s="59"/>
      <c r="O98" s="68">
        <f t="shared" si="10"/>
        <v>1306.5749999999998</v>
      </c>
      <c r="P98" s="68">
        <f t="shared" si="12"/>
        <v>1119.3638232323231</v>
      </c>
    </row>
    <row r="99" spans="3:16" ht="16.2" customHeight="1" x14ac:dyDescent="0.3">
      <c r="C99" s="51">
        <f t="shared" si="13"/>
        <v>46021</v>
      </c>
      <c r="D99" s="66">
        <f t="shared" si="14"/>
        <v>130808.08080808081</v>
      </c>
      <c r="E99" s="66">
        <f t="shared" si="11"/>
        <v>138888.88888888888</v>
      </c>
      <c r="F99" s="66">
        <f t="shared" si="15"/>
        <v>8080.8080808080704</v>
      </c>
      <c r="G99" s="67">
        <f t="shared" si="3"/>
        <v>55353.535353535277</v>
      </c>
      <c r="H99" s="68">
        <f t="shared" si="4"/>
        <v>1161.4000000000001</v>
      </c>
      <c r="I99" s="69">
        <f t="shared" si="5"/>
        <v>56514.935299999997</v>
      </c>
      <c r="J99" s="69">
        <f t="shared" si="6"/>
        <v>1130.2987000000001</v>
      </c>
      <c r="K99" s="69">
        <f t="shared" si="7"/>
        <v>57645.233999999997</v>
      </c>
      <c r="L99" s="70">
        <f t="shared" si="8"/>
        <v>0</v>
      </c>
      <c r="M99" s="59">
        <f t="shared" si="9"/>
        <v>9444.6587999997573</v>
      </c>
      <c r="N99" s="59"/>
      <c r="O99" s="68">
        <f t="shared" si="10"/>
        <v>1306.5749999999998</v>
      </c>
      <c r="P99" s="68">
        <f t="shared" si="12"/>
        <v>1133.2022070707055</v>
      </c>
    </row>
    <row r="100" spans="3:16" ht="16.2" customHeight="1" x14ac:dyDescent="0.3">
      <c r="C100" s="51">
        <f t="shared" si="13"/>
        <v>46022</v>
      </c>
      <c r="D100" s="66">
        <f t="shared" si="14"/>
        <v>138888.88888888888</v>
      </c>
      <c r="E100" s="66">
        <f t="shared" si="11"/>
        <v>147272.72727272726</v>
      </c>
      <c r="F100" s="66">
        <f t="shared" si="15"/>
        <v>8383.8383838383888</v>
      </c>
      <c r="G100" s="67">
        <f t="shared" si="3"/>
        <v>57429.292929292962</v>
      </c>
      <c r="H100" s="68">
        <f t="shared" si="4"/>
        <v>1161.4000000000001</v>
      </c>
      <c r="I100" s="69">
        <f t="shared" si="5"/>
        <v>58590.692900000002</v>
      </c>
      <c r="J100" s="69">
        <f t="shared" si="6"/>
        <v>1171.8137999999999</v>
      </c>
      <c r="K100" s="69">
        <f t="shared" si="7"/>
        <v>59762.506699999998</v>
      </c>
      <c r="L100" s="70">
        <f t="shared" si="8"/>
        <v>0</v>
      </c>
      <c r="M100" s="59">
        <f t="shared" si="9"/>
        <v>-50317.847900000241</v>
      </c>
      <c r="O100" s="68">
        <f t="shared" si="10"/>
        <v>1306.5749999999998</v>
      </c>
      <c r="P100" s="68">
        <f t="shared" si="12"/>
        <v>1174.7173585858593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-52983.261536363883</v>
      </c>
      <c r="N101" s="71"/>
      <c r="O101" s="72">
        <f>SUM(O70:O100)-SUM(H70:H100)</f>
        <v>2613.1500000000051</v>
      </c>
      <c r="P101" s="72">
        <f>SUM(P70:P100)-SUM(J70:J100)</f>
        <v>52.26363636363385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3.7BulkSupply(HT)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2026-01-16T03:57:45Z</dcterms:created>
  <dcterms:modified xsi:type="dcterms:W3CDTF">2026-01-28T09:35:29Z</dcterms:modified>
</cp:coreProperties>
</file>