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4BDBA419-0BFD-4777-A6C3-A544ADBD0249}" xr6:coauthVersionLast="47" xr6:coauthVersionMax="47" xr10:uidLastSave="{00000000-0000-0000-0000-000000000000}"/>
  <bookViews>
    <workbookView xWindow="-108" yWindow="-108" windowWidth="23256" windowHeight="12456" xr2:uid="{666CE98B-D6E2-4734-98DA-3E3EFE27AB02}"/>
  </bookViews>
  <sheets>
    <sheet name="3.3Commercial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D33" i="1" s="1"/>
  <c r="E25" i="1"/>
  <c r="K23" i="1"/>
  <c r="K25" i="1" s="1"/>
  <c r="K26" i="1" s="1"/>
  <c r="K27" i="1" s="1"/>
  <c r="K22" i="1"/>
  <c r="D18" i="1"/>
  <c r="D19" i="1" s="1"/>
  <c r="D20" i="1" s="1"/>
  <c r="D17" i="1"/>
  <c r="E26" i="1" l="1"/>
  <c r="E27" i="1" s="1"/>
  <c r="E33" i="1"/>
  <c r="C70" i="1"/>
  <c r="C34" i="1"/>
  <c r="L70" i="1" l="1"/>
  <c r="O70" i="1"/>
  <c r="H70" i="1"/>
  <c r="G70" i="1"/>
  <c r="C71" i="1"/>
  <c r="M70" i="1"/>
  <c r="E70" i="1"/>
  <c r="C35" i="1"/>
  <c r="D34" i="1"/>
  <c r="C36" i="1" l="1"/>
  <c r="D35" i="1"/>
  <c r="E35" i="1" s="1"/>
  <c r="E34" i="1"/>
  <c r="E71" i="1"/>
  <c r="F70" i="1"/>
  <c r="D71" i="1"/>
  <c r="O71" i="1"/>
  <c r="H71" i="1"/>
  <c r="G71" i="1"/>
  <c r="C72" i="1"/>
  <c r="M71" i="1"/>
  <c r="L71" i="1"/>
  <c r="P70" i="1"/>
  <c r="I70" i="1"/>
  <c r="J70" i="1" l="1"/>
  <c r="K70" i="1" s="1"/>
  <c r="L72" i="1"/>
  <c r="M72" i="1"/>
  <c r="H72" i="1"/>
  <c r="O72" i="1"/>
  <c r="G72" i="1"/>
  <c r="C73" i="1"/>
  <c r="I71" i="1"/>
  <c r="P71" i="1"/>
  <c r="E72" i="1"/>
  <c r="F71" i="1"/>
  <c r="D72" i="1"/>
  <c r="D36" i="1"/>
  <c r="C37" i="1"/>
  <c r="M73" i="1" l="1"/>
  <c r="H73" i="1"/>
  <c r="G73" i="1"/>
  <c r="C74" i="1"/>
  <c r="O73" i="1"/>
  <c r="L73" i="1"/>
  <c r="D37" i="1"/>
  <c r="E37" i="1" s="1"/>
  <c r="C38" i="1"/>
  <c r="E73" i="1"/>
  <c r="F72" i="1"/>
  <c r="D73" i="1"/>
  <c r="K71" i="1"/>
  <c r="J71" i="1"/>
  <c r="I72" i="1"/>
  <c r="P72" i="1"/>
  <c r="E36" i="1"/>
  <c r="H74" i="1" l="1"/>
  <c r="G74" i="1"/>
  <c r="C75" i="1"/>
  <c r="O74" i="1"/>
  <c r="L74" i="1"/>
  <c r="M74" i="1"/>
  <c r="I73" i="1"/>
  <c r="P73" i="1"/>
  <c r="J72" i="1"/>
  <c r="K72" i="1"/>
  <c r="C39" i="1"/>
  <c r="D38" i="1"/>
  <c r="E38" i="1" s="1"/>
  <c r="E74" i="1"/>
  <c r="F73" i="1"/>
  <c r="D74" i="1"/>
  <c r="C40" i="1" l="1"/>
  <c r="D39" i="1"/>
  <c r="E39" i="1" s="1"/>
  <c r="J73" i="1"/>
  <c r="K73" i="1" s="1"/>
  <c r="G75" i="1"/>
  <c r="C76" i="1"/>
  <c r="O75" i="1"/>
  <c r="M75" i="1"/>
  <c r="L75" i="1"/>
  <c r="H75" i="1"/>
  <c r="P74" i="1"/>
  <c r="I74" i="1"/>
  <c r="E75" i="1"/>
  <c r="F74" i="1"/>
  <c r="D75" i="1"/>
  <c r="C77" i="1" l="1"/>
  <c r="H76" i="1"/>
  <c r="O76" i="1"/>
  <c r="M76" i="1"/>
  <c r="L76" i="1"/>
  <c r="G76" i="1"/>
  <c r="E76" i="1"/>
  <c r="F75" i="1"/>
  <c r="D76" i="1"/>
  <c r="D40" i="1"/>
  <c r="E40" i="1" s="1"/>
  <c r="C41" i="1"/>
  <c r="I75" i="1"/>
  <c r="P75" i="1"/>
  <c r="J74" i="1"/>
  <c r="K74" i="1" s="1"/>
  <c r="I76" i="1" l="1"/>
  <c r="P76" i="1"/>
  <c r="J75" i="1"/>
  <c r="K75" i="1" s="1"/>
  <c r="D41" i="1"/>
  <c r="E41" i="1" s="1"/>
  <c r="C42" i="1"/>
  <c r="E77" i="1"/>
  <c r="F76" i="1"/>
  <c r="D77" i="1"/>
  <c r="G77" i="1"/>
  <c r="C78" i="1"/>
  <c r="O77" i="1"/>
  <c r="M77" i="1"/>
  <c r="L77" i="1"/>
  <c r="H77" i="1"/>
  <c r="P77" i="1" l="1"/>
  <c r="I77" i="1"/>
  <c r="D78" i="1"/>
  <c r="E78" i="1"/>
  <c r="F77" i="1"/>
  <c r="C79" i="1"/>
  <c r="G78" i="1"/>
  <c r="O78" i="1"/>
  <c r="M78" i="1"/>
  <c r="L78" i="1"/>
  <c r="H78" i="1"/>
  <c r="C43" i="1"/>
  <c r="D42" i="1"/>
  <c r="E42" i="1" s="1"/>
  <c r="J76" i="1"/>
  <c r="K76" i="1" s="1"/>
  <c r="O79" i="1" l="1"/>
  <c r="M79" i="1"/>
  <c r="L79" i="1"/>
  <c r="H79" i="1"/>
  <c r="G79" i="1"/>
  <c r="C80" i="1"/>
  <c r="J77" i="1"/>
  <c r="K77" i="1" s="1"/>
  <c r="C44" i="1"/>
  <c r="D43" i="1"/>
  <c r="E43" i="1" s="1"/>
  <c r="P78" i="1"/>
  <c r="I78" i="1"/>
  <c r="E79" i="1"/>
  <c r="F78" i="1"/>
  <c r="D79" i="1"/>
  <c r="P79" i="1" l="1"/>
  <c r="I79" i="1"/>
  <c r="J78" i="1"/>
  <c r="K78" i="1" s="1"/>
  <c r="O80" i="1"/>
  <c r="M80" i="1"/>
  <c r="L80" i="1"/>
  <c r="C81" i="1"/>
  <c r="H80" i="1"/>
  <c r="G80" i="1"/>
  <c r="D44" i="1"/>
  <c r="E44" i="1" s="1"/>
  <c r="C45" i="1"/>
  <c r="E80" i="1"/>
  <c r="D80" i="1"/>
  <c r="F79" i="1"/>
  <c r="J79" i="1" l="1"/>
  <c r="K79" i="1" s="1"/>
  <c r="D45" i="1"/>
  <c r="E45" i="1" s="1"/>
  <c r="C46" i="1"/>
  <c r="I80" i="1"/>
  <c r="P80" i="1"/>
  <c r="M81" i="1"/>
  <c r="L81" i="1"/>
  <c r="C82" i="1"/>
  <c r="H81" i="1"/>
  <c r="G81" i="1"/>
  <c r="O81" i="1"/>
  <c r="F80" i="1"/>
  <c r="E81" i="1"/>
  <c r="D81" i="1"/>
  <c r="P81" i="1" l="1"/>
  <c r="I81" i="1"/>
  <c r="L82" i="1"/>
  <c r="O82" i="1"/>
  <c r="H82" i="1"/>
  <c r="G82" i="1"/>
  <c r="C83" i="1"/>
  <c r="M82" i="1"/>
  <c r="J80" i="1"/>
  <c r="K80" i="1" s="1"/>
  <c r="D82" i="1"/>
  <c r="E82" i="1"/>
  <c r="F81" i="1"/>
  <c r="C47" i="1"/>
  <c r="D46" i="1"/>
  <c r="E46" i="1" s="1"/>
  <c r="E83" i="1" l="1"/>
  <c r="F82" i="1"/>
  <c r="D83" i="1"/>
  <c r="P82" i="1"/>
  <c r="I82" i="1"/>
  <c r="O83" i="1"/>
  <c r="H83" i="1"/>
  <c r="C84" i="1"/>
  <c r="L83" i="1"/>
  <c r="C48" i="1"/>
  <c r="D47" i="1"/>
  <c r="E47" i="1" s="1"/>
  <c r="J81" i="1"/>
  <c r="K81" i="1" s="1"/>
  <c r="H84" i="1" l="1"/>
  <c r="L84" i="1"/>
  <c r="C85" i="1"/>
  <c r="O84" i="1"/>
  <c r="J82" i="1"/>
  <c r="K82" i="1" s="1"/>
  <c r="D48" i="1"/>
  <c r="E48" i="1" s="1"/>
  <c r="C49" i="1"/>
  <c r="E84" i="1"/>
  <c r="F83" i="1"/>
  <c r="G83" i="1" s="1"/>
  <c r="D84" i="1"/>
  <c r="E85" i="1" l="1"/>
  <c r="F84" i="1"/>
  <c r="G84" i="1" s="1"/>
  <c r="D85" i="1"/>
  <c r="D49" i="1"/>
  <c r="E49" i="1" s="1"/>
  <c r="C50" i="1"/>
  <c r="H85" i="1"/>
  <c r="L85" i="1"/>
  <c r="C86" i="1"/>
  <c r="O85" i="1"/>
  <c r="I83" i="1"/>
  <c r="P83" i="1"/>
  <c r="J83" i="1" l="1"/>
  <c r="K83" i="1" s="1"/>
  <c r="M83" i="1" s="1"/>
  <c r="C51" i="1"/>
  <c r="D50" i="1"/>
  <c r="E50" i="1" s="1"/>
  <c r="H86" i="1"/>
  <c r="C87" i="1"/>
  <c r="O86" i="1"/>
  <c r="L86" i="1"/>
  <c r="I84" i="1"/>
  <c r="P84" i="1"/>
  <c r="E86" i="1"/>
  <c r="F85" i="1"/>
  <c r="G85" i="1" s="1"/>
  <c r="D86" i="1"/>
  <c r="C88" i="1" l="1"/>
  <c r="O87" i="1"/>
  <c r="L87" i="1"/>
  <c r="H87" i="1"/>
  <c r="C52" i="1"/>
  <c r="D51" i="1"/>
  <c r="E51" i="1" s="1"/>
  <c r="I85" i="1"/>
  <c r="P85" i="1"/>
  <c r="J84" i="1"/>
  <c r="K84" i="1" s="1"/>
  <c r="M84" i="1" s="1"/>
  <c r="E87" i="1"/>
  <c r="F86" i="1"/>
  <c r="G86" i="1" s="1"/>
  <c r="D87" i="1"/>
  <c r="P86" i="1" l="1"/>
  <c r="I86" i="1"/>
  <c r="E88" i="1"/>
  <c r="F87" i="1"/>
  <c r="G87" i="1" s="1"/>
  <c r="D88" i="1"/>
  <c r="J85" i="1"/>
  <c r="K85" i="1" s="1"/>
  <c r="M85" i="1" s="1"/>
  <c r="D52" i="1"/>
  <c r="E52" i="1" s="1"/>
  <c r="C53" i="1"/>
  <c r="H88" i="1"/>
  <c r="C89" i="1"/>
  <c r="O88" i="1"/>
  <c r="L88" i="1"/>
  <c r="J86" i="1" l="1"/>
  <c r="K86" i="1" s="1"/>
  <c r="M86" i="1" s="1"/>
  <c r="D53" i="1"/>
  <c r="E53" i="1" s="1"/>
  <c r="C54" i="1"/>
  <c r="I87" i="1"/>
  <c r="P87" i="1"/>
  <c r="C90" i="1"/>
  <c r="O89" i="1"/>
  <c r="L89" i="1"/>
  <c r="H89" i="1"/>
  <c r="E89" i="1"/>
  <c r="F88" i="1"/>
  <c r="G88" i="1" s="1"/>
  <c r="D89" i="1"/>
  <c r="I88" i="1" l="1"/>
  <c r="P88" i="1"/>
  <c r="C91" i="1"/>
  <c r="O90" i="1"/>
  <c r="L90" i="1"/>
  <c r="H90" i="1"/>
  <c r="J87" i="1"/>
  <c r="K87" i="1" s="1"/>
  <c r="M87" i="1" s="1"/>
  <c r="D90" i="1"/>
  <c r="E90" i="1"/>
  <c r="F89" i="1"/>
  <c r="G89" i="1" s="1"/>
  <c r="C55" i="1"/>
  <c r="D54" i="1"/>
  <c r="E54" i="1" s="1"/>
  <c r="O91" i="1" l="1"/>
  <c r="L91" i="1"/>
  <c r="H91" i="1"/>
  <c r="C92" i="1"/>
  <c r="C56" i="1"/>
  <c r="D55" i="1"/>
  <c r="E55" i="1" s="1"/>
  <c r="P89" i="1"/>
  <c r="I89" i="1"/>
  <c r="J88" i="1"/>
  <c r="K88" i="1" s="1"/>
  <c r="M88" i="1" s="1"/>
  <c r="F90" i="1"/>
  <c r="G90" i="1" s="1"/>
  <c r="E91" i="1"/>
  <c r="D91" i="1"/>
  <c r="J89" i="1" l="1"/>
  <c r="K89" i="1" s="1"/>
  <c r="M89" i="1" s="1"/>
  <c r="D56" i="1"/>
  <c r="E56" i="1" s="1"/>
  <c r="C57" i="1"/>
  <c r="F91" i="1"/>
  <c r="G91" i="1" s="1"/>
  <c r="D92" i="1"/>
  <c r="E92" i="1"/>
  <c r="P90" i="1"/>
  <c r="I90" i="1"/>
  <c r="O92" i="1"/>
  <c r="L92" i="1"/>
  <c r="C93" i="1"/>
  <c r="H92" i="1"/>
  <c r="J90" i="1" l="1"/>
  <c r="K90" i="1" s="1"/>
  <c r="M90" i="1" s="1"/>
  <c r="D93" i="1"/>
  <c r="F92" i="1"/>
  <c r="G92" i="1" s="1"/>
  <c r="E93" i="1"/>
  <c r="C58" i="1"/>
  <c r="D57" i="1"/>
  <c r="E57" i="1" s="1"/>
  <c r="P91" i="1"/>
  <c r="I91" i="1"/>
  <c r="L93" i="1"/>
  <c r="C94" i="1"/>
  <c r="H93" i="1"/>
  <c r="O93" i="1"/>
  <c r="J91" i="1" l="1"/>
  <c r="K91" i="1" s="1"/>
  <c r="M91" i="1" s="1"/>
  <c r="C59" i="1"/>
  <c r="D58" i="1"/>
  <c r="E58" i="1" s="1"/>
  <c r="D94" i="1"/>
  <c r="E94" i="1"/>
  <c r="F93" i="1"/>
  <c r="G93" i="1" s="1"/>
  <c r="I92" i="1"/>
  <c r="P92" i="1"/>
  <c r="L94" i="1"/>
  <c r="C95" i="1"/>
  <c r="H94" i="1"/>
  <c r="O94" i="1"/>
  <c r="P93" i="1" l="1"/>
  <c r="I93" i="1"/>
  <c r="C60" i="1"/>
  <c r="D59" i="1"/>
  <c r="E59" i="1" s="1"/>
  <c r="H95" i="1"/>
  <c r="O95" i="1"/>
  <c r="C96" i="1"/>
  <c r="L95" i="1"/>
  <c r="K92" i="1"/>
  <c r="M92" i="1" s="1"/>
  <c r="J92" i="1"/>
  <c r="E95" i="1"/>
  <c r="F94" i="1"/>
  <c r="G94" i="1" s="1"/>
  <c r="D95" i="1"/>
  <c r="O96" i="1" l="1"/>
  <c r="H96" i="1"/>
  <c r="C97" i="1"/>
  <c r="L96" i="1"/>
  <c r="I94" i="1"/>
  <c r="P94" i="1"/>
  <c r="E96" i="1"/>
  <c r="F95" i="1"/>
  <c r="G95" i="1" s="1"/>
  <c r="D96" i="1"/>
  <c r="D60" i="1"/>
  <c r="E60" i="1" s="1"/>
  <c r="C61" i="1"/>
  <c r="J93" i="1"/>
  <c r="K93" i="1" s="1"/>
  <c r="M93" i="1" s="1"/>
  <c r="E97" i="1" l="1"/>
  <c r="F96" i="1"/>
  <c r="G96" i="1" s="1"/>
  <c r="D97" i="1"/>
  <c r="C62" i="1"/>
  <c r="D61" i="1"/>
  <c r="E61" i="1" s="1"/>
  <c r="I95" i="1"/>
  <c r="P95" i="1"/>
  <c r="J94" i="1"/>
  <c r="K94" i="1" s="1"/>
  <c r="M94" i="1" s="1"/>
  <c r="L97" i="1"/>
  <c r="H97" i="1"/>
  <c r="C98" i="1"/>
  <c r="O97" i="1"/>
  <c r="I96" i="1" l="1"/>
  <c r="P96" i="1"/>
  <c r="E98" i="1"/>
  <c r="F97" i="1"/>
  <c r="G97" i="1" s="1"/>
  <c r="D98" i="1"/>
  <c r="J95" i="1"/>
  <c r="K95" i="1" s="1"/>
  <c r="M95" i="1" s="1"/>
  <c r="C63" i="1"/>
  <c r="D63" i="1" s="1"/>
  <c r="D62" i="1"/>
  <c r="E62" i="1" s="1"/>
  <c r="H98" i="1"/>
  <c r="L98" i="1"/>
  <c r="C99" i="1"/>
  <c r="O98" i="1"/>
  <c r="E99" i="1" l="1"/>
  <c r="F98" i="1"/>
  <c r="G98" i="1" s="1"/>
  <c r="D99" i="1"/>
  <c r="C100" i="1"/>
  <c r="O99" i="1"/>
  <c r="L99" i="1"/>
  <c r="H99" i="1"/>
  <c r="J96" i="1"/>
  <c r="K96" i="1" s="1"/>
  <c r="M96" i="1" s="1"/>
  <c r="E63" i="1"/>
  <c r="E64" i="1" s="1"/>
  <c r="D64" i="1"/>
  <c r="I97" i="1"/>
  <c r="P97" i="1"/>
  <c r="H100" i="1" l="1"/>
  <c r="O100" i="1"/>
  <c r="O101" i="1" s="1"/>
  <c r="L100" i="1"/>
  <c r="J97" i="1"/>
  <c r="K97" i="1" s="1"/>
  <c r="M97" i="1" s="1"/>
  <c r="P98" i="1"/>
  <c r="I98" i="1"/>
  <c r="E100" i="1"/>
  <c r="F100" i="1" s="1"/>
  <c r="G100" i="1" s="1"/>
  <c r="F99" i="1"/>
  <c r="G99" i="1" s="1"/>
  <c r="D100" i="1"/>
  <c r="P100" i="1" l="1"/>
  <c r="I100" i="1"/>
  <c r="J98" i="1"/>
  <c r="K98" i="1" s="1"/>
  <c r="M98" i="1" s="1"/>
  <c r="I99" i="1"/>
  <c r="P99" i="1"/>
  <c r="J99" i="1" l="1"/>
  <c r="K99" i="1" s="1"/>
  <c r="M99" i="1" s="1"/>
  <c r="J100" i="1"/>
  <c r="K100" i="1" s="1"/>
  <c r="P101" i="1"/>
  <c r="M101" i="1" l="1"/>
  <c r="M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E20008B6-C7FE-4F52-9CB3-1AE4062947A1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0912C246-9986-436A-ACEA-045734384A0D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<sst xmlns="http://schemas.openxmlformats.org/spreadsheetml/2006/main" count="102" uniqueCount="97">
  <si>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 xml:space="preserve">HT Category - 3: Commercial Service </t>
  </si>
  <si>
    <t xml:space="preserve">Applicability: </t>
  </si>
  <si>
    <t xml:space="preserve">This tariff is applicable for the similar purposes as already defined in LT Category-4 above and rates are as follows: </t>
  </si>
  <si>
    <t>HT Category - 3: Commercial Service 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</si>
  <si>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</si>
  <si>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</si>
  <si>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</si>
  <si>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</si>
  <si>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</si>
  <si>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</si>
  <si>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</si>
  <si>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Commercial Service  (HT)</t>
  </si>
  <si>
    <t>Load:Commercial Service (HT)</t>
  </si>
  <si>
    <t xml:space="preserve">20,000 – 60,000 </t>
  </si>
  <si>
    <t>Kwh</t>
  </si>
  <si>
    <t>Usage Profile</t>
  </si>
  <si>
    <t>Monthly kWh</t>
  </si>
  <si>
    <t>Remarks</t>
  </si>
  <si>
    <t>Contracted Load</t>
  </si>
  <si>
    <t>kVA</t>
  </si>
  <si>
    <t>Low usage</t>
  </si>
  <si>
    <t>8,000 – 20,000 kWh</t>
  </si>
  <si>
    <t>Office building / limited HVAC</t>
  </si>
  <si>
    <t>Installation Date</t>
  </si>
  <si>
    <t>Date</t>
  </si>
  <si>
    <t>Moderate usage</t>
  </si>
  <si>
    <t>20,000 – 60,000 kWh</t>
  </si>
  <si>
    <t>Hotel/large retail, longer hours</t>
  </si>
  <si>
    <t>Multiplying Factor</t>
  </si>
  <si>
    <t>Higher usage</t>
  </si>
  <si>
    <t>60,000 – 150,000 kWh</t>
  </si>
  <si>
    <t>Heavy HVAC + high footfall</t>
  </si>
  <si>
    <t>Current Month days</t>
  </si>
  <si>
    <t>Days</t>
  </si>
  <si>
    <t>Heavy (still HT)</t>
  </si>
  <si>
    <t>150,000 – 300,000 kWh</t>
  </si>
  <si>
    <t>Large mall / multiplex operations</t>
  </si>
  <si>
    <t>Last Date of Month</t>
  </si>
  <si>
    <t>Bill Days</t>
  </si>
  <si>
    <t>Including Installation Day</t>
  </si>
  <si>
    <t>Bill factor</t>
  </si>
  <si>
    <t>Power Factor</t>
  </si>
  <si>
    <t>Type of Consumer / Premises</t>
  </si>
  <si>
    <t>Typical Range (kVA)</t>
  </si>
  <si>
    <t>Modelling Sweet Spot</t>
  </si>
  <si>
    <t>Opening Balance</t>
  </si>
  <si>
    <t>Contract Demand</t>
  </si>
  <si>
    <t>KVA</t>
  </si>
  <si>
    <t>Small commercial complex / standalone showroom</t>
  </si>
  <si>
    <t>15 – 40 kVA</t>
  </si>
  <si>
    <t>25 kVA</t>
  </si>
  <si>
    <t>Max Demand</t>
  </si>
  <si>
    <t>Mid-size hotel / hospital / mall block / office building</t>
  </si>
  <si>
    <t>40 – 100 kVA</t>
  </si>
  <si>
    <t>60 kVA</t>
  </si>
  <si>
    <t>STEP2:</t>
  </si>
  <si>
    <t>Calculate Fixed Charges</t>
  </si>
  <si>
    <t>Large hotel / multiplex / multi-storey commercial building</t>
  </si>
  <si>
    <t>100 – 250 kVA</t>
  </si>
  <si>
    <t>150 kVA</t>
  </si>
  <si>
    <t>Demand Charge ( revised)</t>
  </si>
  <si>
    <t>Major commercial campus / large mall</t>
  </si>
  <si>
    <t>250 – 500 kVA</t>
  </si>
  <si>
    <t>350 kVA</t>
  </si>
  <si>
    <t>Adjusted Fixed Charges for month</t>
  </si>
  <si>
    <t>// Existing Fixed Charges * Bill Factor//</t>
  </si>
  <si>
    <t>Very large commercial (often special feeders / higher category)</t>
  </si>
  <si>
    <t>500 – 1,000 kVA</t>
  </si>
  <si>
    <t>700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</si>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</sst>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0AA0-9D45-4570-9B22-D531740266D0}">
  <sheetPr>
    <tabColor rgb="FF00B0F0"/>
  </sheetPr>
  <dimension ref="B1:R128"/>
  <sheetViews>
    <sheetView showGridLines="0" tabSelected="1" topLeftCell="I69" zoomScaleNormal="100" workbookViewId="0">
      <selection activeCell="L107" sqref="L107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4.109375" customWidth="1"/>
    <col min="15" max="15" width="26.33203125" customWidth="1"/>
    <col min="16" max="16" width="19.6640625" customWidth="1"/>
    <col min="17" max="17" width="29.33203125" customWidth="1"/>
    <col min="18" max="18" width="51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3" t="s">
        <v>2</v>
      </c>
      <c r="D2" s="73"/>
      <c r="E2" s="73"/>
      <c r="F2" s="73"/>
      <c r="G2" s="73"/>
      <c r="H2" s="73"/>
      <c r="I2" s="73"/>
      <c r="J2" s="73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8.9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80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50</v>
      </c>
      <c r="E14" t="s">
        <v>19</v>
      </c>
      <c r="P14" s="23" t="s">
        <v>20</v>
      </c>
      <c r="Q14" s="24" t="s">
        <v>21</v>
      </c>
      <c r="R14" s="23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3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3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3" t="s">
        <v>36</v>
      </c>
    </row>
    <row r="18" spans="2:18" ht="14.4" x14ac:dyDescent="0.3">
      <c r="C18" t="s">
        <v>37</v>
      </c>
      <c r="D18" s="26">
        <f>EOMONTH(D15,0)</f>
        <v>46022</v>
      </c>
      <c r="Q18" s="27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170000</v>
      </c>
      <c r="I22" s="30"/>
      <c r="J22" s="31" t="s">
        <v>46</v>
      </c>
      <c r="K22" s="32">
        <f>D14</f>
        <v>50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55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4000</v>
      </c>
      <c r="I25" s="34"/>
      <c r="J25" s="20" t="s">
        <v>60</v>
      </c>
      <c r="K25" s="37">
        <f>MAX(K22,K23)*E7</f>
        <v>4400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2322.8000000000002</v>
      </c>
      <c r="F26" t="s">
        <v>65</v>
      </c>
      <c r="I26" s="34"/>
      <c r="J26" s="20" t="s">
        <v>64</v>
      </c>
      <c r="K26" s="37">
        <f>K25*D20</f>
        <v>2555.08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129.0445</v>
      </c>
      <c r="F27" t="s">
        <v>70</v>
      </c>
      <c r="I27" s="34"/>
      <c r="J27" s="20" t="s">
        <v>71</v>
      </c>
      <c r="K27" s="37">
        <f>K26/D19</f>
        <v>141.94888888888889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1100</v>
      </c>
      <c r="H33" s="47"/>
      <c r="I33" s="48"/>
      <c r="J33" s="49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1120</v>
      </c>
      <c r="H34" s="47"/>
      <c r="I34" s="48"/>
      <c r="J34" s="49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>
        <v>8</v>
      </c>
      <c r="G35" s="46">
        <v>1130</v>
      </c>
      <c r="H35" s="47"/>
      <c r="I35" s="48"/>
      <c r="J35" s="49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1100</v>
      </c>
      <c r="H36" s="47"/>
      <c r="I36" s="48"/>
      <c r="J36" s="49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1150</v>
      </c>
      <c r="H37" s="47"/>
      <c r="I37" s="48"/>
      <c r="J37" s="49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1180</v>
      </c>
      <c r="H38" s="47"/>
      <c r="I38" s="48"/>
      <c r="J38" s="49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1160</v>
      </c>
      <c r="H39" s="47"/>
      <c r="I39" s="48"/>
      <c r="J39" s="49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1100</v>
      </c>
      <c r="H40" s="47"/>
      <c r="I40" s="48"/>
      <c r="J40" s="49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>
        <v>7</v>
      </c>
      <c r="G41" s="46">
        <v>1120</v>
      </c>
      <c r="H41" s="47"/>
      <c r="I41" s="48"/>
      <c r="J41" s="49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1100</v>
      </c>
      <c r="H42" s="47"/>
      <c r="I42" s="48"/>
      <c r="J42" s="49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1180</v>
      </c>
      <c r="H43" s="47"/>
      <c r="I43" s="48"/>
      <c r="J43" s="49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1100</v>
      </c>
      <c r="H44" s="47"/>
      <c r="I44" s="48"/>
      <c r="J44" s="49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1120</v>
      </c>
      <c r="H45" s="47"/>
      <c r="I45" s="48"/>
      <c r="J45" s="49"/>
    </row>
    <row r="46" spans="3:10" ht="16.2" customHeight="1" x14ac:dyDescent="0.3">
      <c r="C46" s="44">
        <f t="shared" si="2"/>
        <v>46005</v>
      </c>
      <c r="D46" s="45">
        <f t="shared" si="1"/>
        <v>1140</v>
      </c>
      <c r="E46" s="45">
        <f t="shared" si="0"/>
        <v>1151.5151515151515</v>
      </c>
      <c r="F46" s="45"/>
      <c r="G46" s="46">
        <v>1140</v>
      </c>
      <c r="H46" s="47"/>
      <c r="I46" s="48"/>
      <c r="J46" s="49"/>
    </row>
    <row r="47" spans="3:10" ht="16.2" customHeight="1" x14ac:dyDescent="0.3">
      <c r="C47" s="44">
        <f t="shared" si="2"/>
        <v>46006</v>
      </c>
      <c r="D47" s="45">
        <f t="shared" si="1"/>
        <v>1100</v>
      </c>
      <c r="E47" s="45">
        <f t="shared" si="0"/>
        <v>1111.1111111111111</v>
      </c>
      <c r="F47" s="45"/>
      <c r="G47" s="46">
        <v>1100</v>
      </c>
      <c r="H47" s="47"/>
      <c r="I47" s="48"/>
      <c r="J47" s="49"/>
    </row>
    <row r="48" spans="3:10" ht="16.2" customHeight="1" x14ac:dyDescent="0.3">
      <c r="C48" s="44">
        <f t="shared" si="2"/>
        <v>46007</v>
      </c>
      <c r="D48" s="45">
        <f t="shared" si="1"/>
        <v>1200</v>
      </c>
      <c r="E48" s="45">
        <f t="shared" si="0"/>
        <v>1212.1212121212122</v>
      </c>
      <c r="F48" s="45"/>
      <c r="G48" s="46">
        <v>1200</v>
      </c>
      <c r="H48" s="47"/>
      <c r="I48" s="48"/>
      <c r="J48" s="49"/>
    </row>
    <row r="49" spans="3:10" ht="16.2" customHeight="1" x14ac:dyDescent="0.3">
      <c r="C49" s="44">
        <f t="shared" si="2"/>
        <v>46008</v>
      </c>
      <c r="D49" s="45">
        <f t="shared" si="1"/>
        <v>1100</v>
      </c>
      <c r="E49" s="45">
        <f t="shared" si="0"/>
        <v>1111.1111111111111</v>
      </c>
      <c r="F49" s="45"/>
      <c r="G49" s="46">
        <v>1100</v>
      </c>
      <c r="H49" s="47"/>
      <c r="I49" s="48"/>
      <c r="J49" s="49"/>
    </row>
    <row r="50" spans="3:10" ht="16.2" customHeight="1" x14ac:dyDescent="0.3">
      <c r="C50" s="44">
        <f t="shared" si="2"/>
        <v>46009</v>
      </c>
      <c r="D50" s="45">
        <f t="shared" si="1"/>
        <v>1120</v>
      </c>
      <c r="E50" s="45">
        <f t="shared" si="0"/>
        <v>1131.3131313131314</v>
      </c>
      <c r="F50" s="50">
        <v>55</v>
      </c>
      <c r="G50" s="46">
        <v>1120</v>
      </c>
      <c r="H50" s="47"/>
      <c r="I50" s="48"/>
      <c r="J50" s="49"/>
    </row>
    <row r="51" spans="3:10" ht="16.2" customHeight="1" x14ac:dyDescent="0.3">
      <c r="C51" s="44">
        <f t="shared" si="2"/>
        <v>46010</v>
      </c>
      <c r="D51" s="45">
        <f t="shared" si="1"/>
        <v>1100</v>
      </c>
      <c r="E51" s="45">
        <f t="shared" si="0"/>
        <v>1111.1111111111111</v>
      </c>
      <c r="F51" s="45"/>
      <c r="G51" s="46">
        <v>1100</v>
      </c>
      <c r="H51" s="47"/>
      <c r="I51" s="48"/>
      <c r="J51" s="49"/>
    </row>
    <row r="52" spans="3:10" ht="16.2" customHeight="1" x14ac:dyDescent="0.3">
      <c r="C52" s="44">
        <f t="shared" si="2"/>
        <v>46011</v>
      </c>
      <c r="D52" s="45">
        <f t="shared" si="1"/>
        <v>1150</v>
      </c>
      <c r="E52" s="45">
        <f t="shared" si="0"/>
        <v>1161.6161616161617</v>
      </c>
      <c r="F52" s="45"/>
      <c r="G52" s="46">
        <v>1150</v>
      </c>
      <c r="H52" s="47"/>
      <c r="I52" s="48"/>
      <c r="J52" s="49"/>
    </row>
    <row r="53" spans="3:10" ht="16.2" customHeight="1" x14ac:dyDescent="0.3">
      <c r="C53" s="44">
        <f t="shared" si="2"/>
        <v>46012</v>
      </c>
      <c r="D53" s="45">
        <f t="shared" si="1"/>
        <v>1180</v>
      </c>
      <c r="E53" s="45">
        <f t="shared" si="0"/>
        <v>1191.9191919191919</v>
      </c>
      <c r="F53" s="45"/>
      <c r="G53" s="46">
        <v>1180</v>
      </c>
      <c r="H53" s="47"/>
      <c r="I53" s="48"/>
      <c r="J53" s="49"/>
    </row>
    <row r="54" spans="3:10" ht="16.2" customHeight="1" x14ac:dyDescent="0.3">
      <c r="C54" s="44">
        <f t="shared" si="2"/>
        <v>46013</v>
      </c>
      <c r="D54" s="45">
        <f t="shared" si="1"/>
        <v>1100</v>
      </c>
      <c r="E54" s="45">
        <f t="shared" si="0"/>
        <v>1111.1111111111111</v>
      </c>
      <c r="F54" s="45"/>
      <c r="G54" s="46">
        <v>1100</v>
      </c>
      <c r="H54" s="47"/>
      <c r="I54" s="48"/>
      <c r="J54" s="49"/>
    </row>
    <row r="55" spans="3:10" ht="16.2" customHeight="1" x14ac:dyDescent="0.3">
      <c r="C55" s="44">
        <f t="shared" si="2"/>
        <v>46014</v>
      </c>
      <c r="D55" s="45">
        <f t="shared" si="1"/>
        <v>1120</v>
      </c>
      <c r="E55" s="45">
        <f t="shared" si="0"/>
        <v>1131.3131313131314</v>
      </c>
      <c r="F55" s="45"/>
      <c r="G55" s="46">
        <v>1120</v>
      </c>
      <c r="H55" s="47"/>
      <c r="I55" s="48"/>
      <c r="J55" s="49"/>
    </row>
    <row r="56" spans="3:10" ht="16.2" customHeight="1" x14ac:dyDescent="0.3">
      <c r="C56" s="44">
        <f t="shared" si="2"/>
        <v>46015</v>
      </c>
      <c r="D56" s="45">
        <f t="shared" si="1"/>
        <v>1230</v>
      </c>
      <c r="E56" s="45">
        <f t="shared" si="0"/>
        <v>1242.4242424242425</v>
      </c>
      <c r="F56" s="45"/>
      <c r="G56" s="46">
        <v>1230</v>
      </c>
      <c r="H56" s="47"/>
      <c r="I56" s="48"/>
      <c r="J56" s="49"/>
    </row>
    <row r="57" spans="3:10" ht="16.2" customHeight="1" x14ac:dyDescent="0.3">
      <c r="C57" s="44">
        <f t="shared" si="2"/>
        <v>46016</v>
      </c>
      <c r="D57" s="45">
        <f t="shared" si="1"/>
        <v>1260</v>
      </c>
      <c r="E57" s="45">
        <f t="shared" si="0"/>
        <v>1272.7272727272727</v>
      </c>
      <c r="F57" s="45"/>
      <c r="G57" s="46">
        <v>1260</v>
      </c>
      <c r="H57" s="47"/>
      <c r="I57" s="48"/>
      <c r="J57" s="49"/>
    </row>
    <row r="58" spans="3:10" ht="16.2" customHeight="1" x14ac:dyDescent="0.3">
      <c r="C58" s="44">
        <f t="shared" si="2"/>
        <v>46017</v>
      </c>
      <c r="D58" s="45">
        <f t="shared" si="1"/>
        <v>1100</v>
      </c>
      <c r="E58" s="45">
        <f t="shared" si="0"/>
        <v>1111.1111111111111</v>
      </c>
      <c r="F58" s="45"/>
      <c r="G58" s="46">
        <v>1100</v>
      </c>
      <c r="H58" s="47"/>
      <c r="I58" s="48"/>
      <c r="J58" s="49"/>
    </row>
    <row r="59" spans="3:10" ht="16.2" customHeight="1" x14ac:dyDescent="0.3">
      <c r="C59" s="44">
        <f t="shared" si="2"/>
        <v>46018</v>
      </c>
      <c r="D59" s="45">
        <f t="shared" si="1"/>
        <v>1080</v>
      </c>
      <c r="E59" s="45">
        <f t="shared" si="0"/>
        <v>1090.909090909091</v>
      </c>
      <c r="F59" s="45"/>
      <c r="G59" s="46">
        <v>1080</v>
      </c>
      <c r="H59" s="47"/>
      <c r="I59" s="48"/>
      <c r="J59" s="49"/>
    </row>
    <row r="60" spans="3:10" ht="16.2" customHeight="1" x14ac:dyDescent="0.3">
      <c r="C60" s="44">
        <f t="shared" si="2"/>
        <v>46019</v>
      </c>
      <c r="D60" s="45">
        <f t="shared" si="1"/>
        <v>1120</v>
      </c>
      <c r="E60" s="45">
        <f t="shared" si="0"/>
        <v>1131.3131313131314</v>
      </c>
      <c r="F60" s="45"/>
      <c r="G60" s="46">
        <v>1120</v>
      </c>
      <c r="H60" s="47"/>
      <c r="I60" s="48"/>
      <c r="J60" s="49"/>
    </row>
    <row r="61" spans="3:10" ht="16.2" customHeight="1" x14ac:dyDescent="0.3">
      <c r="C61" s="44">
        <f t="shared" si="2"/>
        <v>46020</v>
      </c>
      <c r="D61" s="45">
        <f t="shared" si="1"/>
        <v>1100</v>
      </c>
      <c r="E61" s="45">
        <f t="shared" si="0"/>
        <v>1111.1111111111111</v>
      </c>
      <c r="F61" s="45"/>
      <c r="G61" s="46">
        <v>1100</v>
      </c>
      <c r="H61" s="47"/>
      <c r="I61" s="48"/>
      <c r="J61" s="49"/>
    </row>
    <row r="62" spans="3:10" ht="16.2" customHeight="1" x14ac:dyDescent="0.3">
      <c r="C62" s="44">
        <f t="shared" si="2"/>
        <v>46021</v>
      </c>
      <c r="D62" s="45">
        <f t="shared" si="1"/>
        <v>1120</v>
      </c>
      <c r="E62" s="45">
        <f t="shared" si="0"/>
        <v>1131.3131313131314</v>
      </c>
      <c r="F62" s="45"/>
      <c r="G62" s="46">
        <v>1120</v>
      </c>
      <c r="H62" s="47"/>
      <c r="I62" s="48"/>
      <c r="J62" s="49"/>
    </row>
    <row r="63" spans="3:10" ht="16.2" customHeight="1" x14ac:dyDescent="0.3">
      <c r="C63" s="44">
        <f t="shared" si="2"/>
        <v>46022</v>
      </c>
      <c r="D63" s="45">
        <f t="shared" si="1"/>
        <v>1180</v>
      </c>
      <c r="E63" s="45">
        <f t="shared" si="0"/>
        <v>1191.9191919191919</v>
      </c>
      <c r="F63" s="45"/>
      <c r="G63" s="46">
        <v>1180</v>
      </c>
      <c r="H63" s="47"/>
      <c r="I63" s="48"/>
      <c r="J63" s="49"/>
    </row>
    <row r="64" spans="3:10" ht="16.2" customHeight="1" x14ac:dyDescent="0.3">
      <c r="C64" s="51"/>
      <c r="D64" s="52">
        <f>SUM(D33:D63)</f>
        <v>20500</v>
      </c>
      <c r="E64" s="52">
        <f>SUM(E33:E63)</f>
        <v>20707.070707070703</v>
      </c>
      <c r="F64" s="52">
        <f>MAX(F33:F63)</f>
        <v>55</v>
      </c>
      <c r="G64" s="52">
        <f>SUM(G33:G63)</f>
        <v>35160</v>
      </c>
      <c r="H64" s="53"/>
      <c r="I64" s="54"/>
      <c r="J64" s="53"/>
    </row>
    <row r="65" spans="2:16" ht="16.2" customHeight="1" x14ac:dyDescent="0.3">
      <c r="C65" s="51"/>
    </row>
    <row r="66" spans="2:16" ht="16.2" customHeight="1" x14ac:dyDescent="0.3">
      <c r="C66" s="51"/>
    </row>
    <row r="67" spans="2:16" ht="16.2" customHeight="1" x14ac:dyDescent="0.3">
      <c r="B67" s="1" t="s">
        <v>78</v>
      </c>
      <c r="C67" s="51"/>
      <c r="J67" s="55">
        <v>0.02</v>
      </c>
      <c r="P67" s="56"/>
    </row>
    <row r="68" spans="2:16" ht="38.4" customHeight="1" x14ac:dyDescent="0.3">
      <c r="C68" s="57" t="s">
        <v>24</v>
      </c>
      <c r="D68" s="58" t="s">
        <v>79</v>
      </c>
      <c r="E68" s="58" t="s">
        <v>80</v>
      </c>
      <c r="F68" s="58" t="s">
        <v>81</v>
      </c>
      <c r="G68" s="58" t="s">
        <v>82</v>
      </c>
      <c r="H68" s="58" t="s">
        <v>83</v>
      </c>
      <c r="I68" s="58" t="s">
        <v>84</v>
      </c>
      <c r="J68" s="58" t="s">
        <v>85</v>
      </c>
      <c r="K68" s="58" t="s">
        <v>86</v>
      </c>
      <c r="L68" s="58" t="s">
        <v>87</v>
      </c>
      <c r="M68" s="58" t="s">
        <v>88</v>
      </c>
      <c r="N68" s="59"/>
      <c r="O68" s="58" t="s">
        <v>89</v>
      </c>
      <c r="P68" s="58" t="s">
        <v>90</v>
      </c>
    </row>
    <row r="69" spans="2:16" ht="66" customHeight="1" x14ac:dyDescent="0.3">
      <c r="C69" s="60"/>
      <c r="D69" s="61"/>
      <c r="E69" s="61"/>
      <c r="F69" s="61"/>
      <c r="G69" s="62" t="s">
        <v>91</v>
      </c>
      <c r="H69" s="62" t="s">
        <v>92</v>
      </c>
      <c r="I69" s="62" t="s">
        <v>93</v>
      </c>
      <c r="J69" s="62" t="s">
        <v>94</v>
      </c>
      <c r="K69" s="63" t="s">
        <v>95</v>
      </c>
      <c r="L69" s="63"/>
      <c r="M69" s="64">
        <f>D22</f>
        <v>170000</v>
      </c>
      <c r="N69" s="59"/>
      <c r="O69" s="62" t="s">
        <v>96</v>
      </c>
      <c r="P69" s="62"/>
    </row>
    <row r="70" spans="2:16" ht="16.2" customHeight="1" x14ac:dyDescent="0.3">
      <c r="C70" s="51">
        <f>C33</f>
        <v>45992</v>
      </c>
      <c r="D70" s="65">
        <v>0</v>
      </c>
      <c r="E70" s="65">
        <f>E33</f>
        <v>0</v>
      </c>
      <c r="F70" s="66">
        <f>E70-D70</f>
        <v>0</v>
      </c>
      <c r="G70" s="67">
        <f t="shared" ref="G70:G100" si="3">IF(C70&lt;$D$15,0,F70*$E$6)</f>
        <v>0</v>
      </c>
      <c r="H70" s="68">
        <f t="shared" ref="H70:H100" si="4">IF(C70&lt;$D$15,0,$E$27)</f>
        <v>0</v>
      </c>
      <c r="I70" s="69">
        <f t="shared" ref="I70:I100" si="5">ROUNDDOWN(G70+H70,4)</f>
        <v>0</v>
      </c>
      <c r="J70" s="69">
        <f t="shared" ref="J70:J100" si="6">ROUNDDOWN($J$67*I70,4)</f>
        <v>0</v>
      </c>
      <c r="K70" s="69">
        <f t="shared" ref="K70:K100" si="7">ROUNDDOWN(I70+J70,4)</f>
        <v>0</v>
      </c>
      <c r="L70" s="70">
        <f t="shared" ref="L70:L100" si="8">IF(C70&lt;$D$15,0,IF(C70=$D$15,$D$22,0))</f>
        <v>0</v>
      </c>
      <c r="M70" s="59">
        <f t="shared" ref="M70:M100" si="9">IF(C70&lt;$D$15,0,IF(C70=$D$15,L70-K70,M69-K70+L70))</f>
        <v>0</v>
      </c>
      <c r="N70" s="59"/>
      <c r="O70" s="68">
        <f t="shared" ref="O70:O100" si="10">IF(C70&lt;$D$15,0,$K$27)</f>
        <v>0</v>
      </c>
      <c r="P70" s="68">
        <f>(G70+O70)*$J$67</f>
        <v>0</v>
      </c>
    </row>
    <row r="71" spans="2:16" ht="16.2" customHeight="1" x14ac:dyDescent="0.3">
      <c r="C71" s="51">
        <f>C70+1</f>
        <v>45993</v>
      </c>
      <c r="D71" s="66">
        <f>E70</f>
        <v>0</v>
      </c>
      <c r="E71" s="66">
        <f t="shared" ref="E71:E100" si="11">E70+E34</f>
        <v>0</v>
      </c>
      <c r="F71" s="66">
        <f>E71-D71</f>
        <v>0</v>
      </c>
      <c r="G71" s="67">
        <f t="shared" si="3"/>
        <v>0</v>
      </c>
      <c r="H71" s="68">
        <f t="shared" si="4"/>
        <v>0</v>
      </c>
      <c r="I71" s="69">
        <f t="shared" si="5"/>
        <v>0</v>
      </c>
      <c r="J71" s="69">
        <f t="shared" si="6"/>
        <v>0</v>
      </c>
      <c r="K71" s="69">
        <f t="shared" si="7"/>
        <v>0</v>
      </c>
      <c r="L71" s="70">
        <f t="shared" si="8"/>
        <v>0</v>
      </c>
      <c r="M71" s="59">
        <f t="shared" si="9"/>
        <v>0</v>
      </c>
      <c r="N71" s="59"/>
      <c r="O71" s="68">
        <f t="shared" si="10"/>
        <v>0</v>
      </c>
      <c r="P71" s="68">
        <f t="shared" ref="P71:P100" si="12">(G71+O71)*$J$67</f>
        <v>0</v>
      </c>
    </row>
    <row r="72" spans="2:16" ht="16.2" customHeight="1" x14ac:dyDescent="0.3">
      <c r="C72" s="51">
        <f t="shared" ref="C72:C100" si="13">C71+1</f>
        <v>45994</v>
      </c>
      <c r="D72" s="66">
        <f>E71</f>
        <v>0</v>
      </c>
      <c r="E72" s="66">
        <f t="shared" si="11"/>
        <v>0</v>
      </c>
      <c r="F72" s="66">
        <f>E72-D72</f>
        <v>0</v>
      </c>
      <c r="G72" s="67">
        <f t="shared" si="3"/>
        <v>0</v>
      </c>
      <c r="H72" s="68">
        <f t="shared" si="4"/>
        <v>0</v>
      </c>
      <c r="I72" s="69">
        <f t="shared" si="5"/>
        <v>0</v>
      </c>
      <c r="J72" s="69">
        <f t="shared" si="6"/>
        <v>0</v>
      </c>
      <c r="K72" s="69">
        <f t="shared" si="7"/>
        <v>0</v>
      </c>
      <c r="L72" s="70">
        <f t="shared" si="8"/>
        <v>0</v>
      </c>
      <c r="M72" s="59">
        <f t="shared" si="9"/>
        <v>0</v>
      </c>
      <c r="N72" s="59"/>
      <c r="O72" s="68">
        <f t="shared" si="10"/>
        <v>0</v>
      </c>
      <c r="P72" s="68">
        <f t="shared" si="12"/>
        <v>0</v>
      </c>
    </row>
    <row r="73" spans="2:16" ht="16.2" customHeight="1" x14ac:dyDescent="0.3">
      <c r="C73" s="51">
        <f t="shared" si="13"/>
        <v>45995</v>
      </c>
      <c r="D73" s="66">
        <f t="shared" ref="D73:D100" si="14">E72</f>
        <v>0</v>
      </c>
      <c r="E73" s="66">
        <f t="shared" si="11"/>
        <v>0</v>
      </c>
      <c r="F73" s="66">
        <f t="shared" ref="F73:F100" si="15">E73-D73</f>
        <v>0</v>
      </c>
      <c r="G73" s="67">
        <f t="shared" si="3"/>
        <v>0</v>
      </c>
      <c r="H73" s="68">
        <f t="shared" si="4"/>
        <v>0</v>
      </c>
      <c r="I73" s="69">
        <f t="shared" si="5"/>
        <v>0</v>
      </c>
      <c r="J73" s="69">
        <f t="shared" si="6"/>
        <v>0</v>
      </c>
      <c r="K73" s="69">
        <f t="shared" si="7"/>
        <v>0</v>
      </c>
      <c r="L73" s="70">
        <f t="shared" si="8"/>
        <v>0</v>
      </c>
      <c r="M73" s="59">
        <f t="shared" si="9"/>
        <v>0</v>
      </c>
      <c r="N73" s="59"/>
      <c r="O73" s="68">
        <f t="shared" si="10"/>
        <v>0</v>
      </c>
      <c r="P73" s="68">
        <f t="shared" si="12"/>
        <v>0</v>
      </c>
    </row>
    <row r="74" spans="2:16" ht="16.2" customHeight="1" x14ac:dyDescent="0.3">
      <c r="C74" s="51">
        <f t="shared" si="13"/>
        <v>45996</v>
      </c>
      <c r="D74" s="66">
        <f t="shared" si="14"/>
        <v>0</v>
      </c>
      <c r="E74" s="66">
        <f t="shared" si="11"/>
        <v>0</v>
      </c>
      <c r="F74" s="66">
        <f t="shared" si="15"/>
        <v>0</v>
      </c>
      <c r="G74" s="67">
        <f t="shared" si="3"/>
        <v>0</v>
      </c>
      <c r="H74" s="68">
        <f t="shared" si="4"/>
        <v>0</v>
      </c>
      <c r="I74" s="69">
        <f t="shared" si="5"/>
        <v>0</v>
      </c>
      <c r="J74" s="69">
        <f t="shared" si="6"/>
        <v>0</v>
      </c>
      <c r="K74" s="69">
        <f t="shared" si="7"/>
        <v>0</v>
      </c>
      <c r="L74" s="70">
        <f t="shared" si="8"/>
        <v>0</v>
      </c>
      <c r="M74" s="59">
        <f t="shared" si="9"/>
        <v>0</v>
      </c>
      <c r="N74" s="59"/>
      <c r="O74" s="68">
        <f t="shared" si="10"/>
        <v>0</v>
      </c>
      <c r="P74" s="68">
        <f t="shared" si="12"/>
        <v>0</v>
      </c>
    </row>
    <row r="75" spans="2:16" ht="16.2" customHeight="1" x14ac:dyDescent="0.3">
      <c r="C75" s="51">
        <f t="shared" si="13"/>
        <v>45997</v>
      </c>
      <c r="D75" s="66">
        <f t="shared" si="14"/>
        <v>0</v>
      </c>
      <c r="E75" s="66">
        <f t="shared" si="11"/>
        <v>0</v>
      </c>
      <c r="F75" s="66">
        <f t="shared" si="15"/>
        <v>0</v>
      </c>
      <c r="G75" s="67">
        <f t="shared" si="3"/>
        <v>0</v>
      </c>
      <c r="H75" s="68">
        <f t="shared" si="4"/>
        <v>0</v>
      </c>
      <c r="I75" s="69">
        <f t="shared" si="5"/>
        <v>0</v>
      </c>
      <c r="J75" s="69">
        <f t="shared" si="6"/>
        <v>0</v>
      </c>
      <c r="K75" s="69">
        <f t="shared" si="7"/>
        <v>0</v>
      </c>
      <c r="L75" s="70">
        <f t="shared" si="8"/>
        <v>0</v>
      </c>
      <c r="M75" s="59">
        <f t="shared" si="9"/>
        <v>0</v>
      </c>
      <c r="N75" s="59"/>
      <c r="O75" s="68">
        <f t="shared" si="10"/>
        <v>0</v>
      </c>
      <c r="P75" s="68">
        <f t="shared" si="12"/>
        <v>0</v>
      </c>
    </row>
    <row r="76" spans="2:16" ht="16.2" customHeight="1" x14ac:dyDescent="0.3">
      <c r="C76" s="51">
        <f t="shared" si="13"/>
        <v>45998</v>
      </c>
      <c r="D76" s="66">
        <f t="shared" si="14"/>
        <v>0</v>
      </c>
      <c r="E76" s="66">
        <f t="shared" si="11"/>
        <v>0</v>
      </c>
      <c r="F76" s="66">
        <f t="shared" si="15"/>
        <v>0</v>
      </c>
      <c r="G76" s="67">
        <f t="shared" si="3"/>
        <v>0</v>
      </c>
      <c r="H76" s="68">
        <f t="shared" si="4"/>
        <v>0</v>
      </c>
      <c r="I76" s="69">
        <f t="shared" si="5"/>
        <v>0</v>
      </c>
      <c r="J76" s="69">
        <f t="shared" si="6"/>
        <v>0</v>
      </c>
      <c r="K76" s="69">
        <f t="shared" si="7"/>
        <v>0</v>
      </c>
      <c r="L76" s="70">
        <f t="shared" si="8"/>
        <v>0</v>
      </c>
      <c r="M76" s="59">
        <f t="shared" si="9"/>
        <v>0</v>
      </c>
      <c r="N76" s="59"/>
      <c r="O76" s="68">
        <f t="shared" si="10"/>
        <v>0</v>
      </c>
      <c r="P76" s="68">
        <f t="shared" si="12"/>
        <v>0</v>
      </c>
    </row>
    <row r="77" spans="2:16" ht="16.2" customHeight="1" x14ac:dyDescent="0.3">
      <c r="C77" s="51">
        <f t="shared" si="13"/>
        <v>45999</v>
      </c>
      <c r="D77" s="66">
        <f t="shared" si="14"/>
        <v>0</v>
      </c>
      <c r="E77" s="66">
        <f t="shared" si="11"/>
        <v>0</v>
      </c>
      <c r="F77" s="66">
        <f t="shared" si="15"/>
        <v>0</v>
      </c>
      <c r="G77" s="67">
        <f t="shared" si="3"/>
        <v>0</v>
      </c>
      <c r="H77" s="68">
        <f t="shared" si="4"/>
        <v>0</v>
      </c>
      <c r="I77" s="69">
        <f t="shared" si="5"/>
        <v>0</v>
      </c>
      <c r="J77" s="69">
        <f t="shared" si="6"/>
        <v>0</v>
      </c>
      <c r="K77" s="69">
        <f t="shared" si="7"/>
        <v>0</v>
      </c>
      <c r="L77" s="70">
        <f t="shared" si="8"/>
        <v>0</v>
      </c>
      <c r="M77" s="59">
        <f t="shared" si="9"/>
        <v>0</v>
      </c>
      <c r="N77" s="59"/>
      <c r="O77" s="68">
        <f t="shared" si="10"/>
        <v>0</v>
      </c>
      <c r="P77" s="68">
        <f t="shared" si="12"/>
        <v>0</v>
      </c>
    </row>
    <row r="78" spans="2:16" ht="16.2" customHeight="1" x14ac:dyDescent="0.3">
      <c r="C78" s="51">
        <f t="shared" si="13"/>
        <v>46000</v>
      </c>
      <c r="D78" s="66">
        <f t="shared" si="14"/>
        <v>0</v>
      </c>
      <c r="E78" s="66">
        <f t="shared" si="11"/>
        <v>0</v>
      </c>
      <c r="F78" s="66">
        <f t="shared" si="15"/>
        <v>0</v>
      </c>
      <c r="G78" s="67">
        <f t="shared" si="3"/>
        <v>0</v>
      </c>
      <c r="H78" s="68">
        <f t="shared" si="4"/>
        <v>0</v>
      </c>
      <c r="I78" s="69">
        <f t="shared" si="5"/>
        <v>0</v>
      </c>
      <c r="J78" s="69">
        <f t="shared" si="6"/>
        <v>0</v>
      </c>
      <c r="K78" s="69">
        <f t="shared" si="7"/>
        <v>0</v>
      </c>
      <c r="L78" s="70">
        <f t="shared" si="8"/>
        <v>0</v>
      </c>
      <c r="M78" s="59">
        <f t="shared" si="9"/>
        <v>0</v>
      </c>
      <c r="N78" s="59"/>
      <c r="O78" s="68">
        <f t="shared" si="10"/>
        <v>0</v>
      </c>
      <c r="P78" s="68">
        <f t="shared" si="12"/>
        <v>0</v>
      </c>
    </row>
    <row r="79" spans="2:16" ht="14.4" x14ac:dyDescent="0.3">
      <c r="C79" s="51">
        <f t="shared" si="13"/>
        <v>46001</v>
      </c>
      <c r="D79" s="66">
        <f t="shared" si="14"/>
        <v>0</v>
      </c>
      <c r="E79" s="66">
        <f t="shared" si="11"/>
        <v>0</v>
      </c>
      <c r="F79" s="66">
        <f t="shared" si="15"/>
        <v>0</v>
      </c>
      <c r="G79" s="67">
        <f t="shared" si="3"/>
        <v>0</v>
      </c>
      <c r="H79" s="68">
        <f t="shared" si="4"/>
        <v>0</v>
      </c>
      <c r="I79" s="69">
        <f t="shared" si="5"/>
        <v>0</v>
      </c>
      <c r="J79" s="69">
        <f t="shared" si="6"/>
        <v>0</v>
      </c>
      <c r="K79" s="69">
        <f t="shared" si="7"/>
        <v>0</v>
      </c>
      <c r="L79" s="70">
        <f t="shared" si="8"/>
        <v>0</v>
      </c>
      <c r="M79" s="59">
        <f t="shared" si="9"/>
        <v>0</v>
      </c>
      <c r="N79" s="59"/>
      <c r="O79" s="68">
        <f t="shared" si="10"/>
        <v>0</v>
      </c>
      <c r="P79" s="68">
        <f t="shared" si="12"/>
        <v>0</v>
      </c>
    </row>
    <row r="80" spans="2:16" ht="16.2" customHeight="1" x14ac:dyDescent="0.3">
      <c r="C80" s="51">
        <f t="shared" si="13"/>
        <v>46002</v>
      </c>
      <c r="D80" s="66">
        <f t="shared" si="14"/>
        <v>0</v>
      </c>
      <c r="E80" s="66">
        <f t="shared" si="11"/>
        <v>0</v>
      </c>
      <c r="F80" s="66">
        <f t="shared" si="15"/>
        <v>0</v>
      </c>
      <c r="G80" s="67">
        <f t="shared" si="3"/>
        <v>0</v>
      </c>
      <c r="H80" s="68">
        <f t="shared" si="4"/>
        <v>0</v>
      </c>
      <c r="I80" s="69">
        <f t="shared" si="5"/>
        <v>0</v>
      </c>
      <c r="J80" s="69">
        <f t="shared" si="6"/>
        <v>0</v>
      </c>
      <c r="K80" s="69">
        <f t="shared" si="7"/>
        <v>0</v>
      </c>
      <c r="L80" s="70">
        <f t="shared" si="8"/>
        <v>0</v>
      </c>
      <c r="M80" s="59">
        <f t="shared" si="9"/>
        <v>0</v>
      </c>
      <c r="N80" s="59"/>
      <c r="O80" s="68">
        <f t="shared" si="10"/>
        <v>0</v>
      </c>
      <c r="P80" s="68">
        <f t="shared" si="12"/>
        <v>0</v>
      </c>
    </row>
    <row r="81" spans="3:16" ht="16.2" customHeight="1" x14ac:dyDescent="0.3">
      <c r="C81" s="51">
        <f t="shared" si="13"/>
        <v>46003</v>
      </c>
      <c r="D81" s="66">
        <f t="shared" si="14"/>
        <v>0</v>
      </c>
      <c r="E81" s="66">
        <f t="shared" si="11"/>
        <v>0</v>
      </c>
      <c r="F81" s="66">
        <f t="shared" si="15"/>
        <v>0</v>
      </c>
      <c r="G81" s="67">
        <f t="shared" si="3"/>
        <v>0</v>
      </c>
      <c r="H81" s="68">
        <f t="shared" si="4"/>
        <v>0</v>
      </c>
      <c r="I81" s="69">
        <f t="shared" si="5"/>
        <v>0</v>
      </c>
      <c r="J81" s="69">
        <f t="shared" si="6"/>
        <v>0</v>
      </c>
      <c r="K81" s="69">
        <f t="shared" si="7"/>
        <v>0</v>
      </c>
      <c r="L81" s="70">
        <f t="shared" si="8"/>
        <v>0</v>
      </c>
      <c r="M81" s="59">
        <f t="shared" si="9"/>
        <v>0</v>
      </c>
      <c r="N81" s="59"/>
      <c r="O81" s="68">
        <f t="shared" si="10"/>
        <v>0</v>
      </c>
      <c r="P81" s="68">
        <f t="shared" si="12"/>
        <v>0</v>
      </c>
    </row>
    <row r="82" spans="3:16" ht="16.2" customHeight="1" x14ac:dyDescent="0.3">
      <c r="C82" s="51">
        <f t="shared" si="13"/>
        <v>46004</v>
      </c>
      <c r="D82" s="66">
        <f t="shared" si="14"/>
        <v>0</v>
      </c>
      <c r="E82" s="66">
        <f t="shared" si="11"/>
        <v>0</v>
      </c>
      <c r="F82" s="66">
        <f t="shared" si="15"/>
        <v>0</v>
      </c>
      <c r="G82" s="67">
        <f t="shared" si="3"/>
        <v>0</v>
      </c>
      <c r="H82" s="68">
        <f t="shared" si="4"/>
        <v>0</v>
      </c>
      <c r="I82" s="69">
        <f t="shared" si="5"/>
        <v>0</v>
      </c>
      <c r="J82" s="69">
        <f t="shared" si="6"/>
        <v>0</v>
      </c>
      <c r="K82" s="69">
        <f t="shared" si="7"/>
        <v>0</v>
      </c>
      <c r="L82" s="70">
        <f t="shared" si="8"/>
        <v>0</v>
      </c>
      <c r="M82" s="59">
        <f t="shared" si="9"/>
        <v>0</v>
      </c>
      <c r="N82" s="59"/>
      <c r="O82" s="68">
        <f t="shared" si="10"/>
        <v>0</v>
      </c>
      <c r="P82" s="68">
        <f t="shared" si="12"/>
        <v>0</v>
      </c>
    </row>
    <row r="83" spans="3:16" ht="16.2" customHeight="1" x14ac:dyDescent="0.3">
      <c r="C83" s="51">
        <f t="shared" si="13"/>
        <v>46005</v>
      </c>
      <c r="D83" s="66">
        <f t="shared" si="14"/>
        <v>0</v>
      </c>
      <c r="E83" s="66">
        <f t="shared" si="11"/>
        <v>1151.5151515151515</v>
      </c>
      <c r="F83" s="66">
        <f t="shared" si="15"/>
        <v>1151.5151515151515</v>
      </c>
      <c r="G83" s="67">
        <f t="shared" si="3"/>
        <v>10248.484848484848</v>
      </c>
      <c r="H83" s="68">
        <f t="shared" si="4"/>
        <v>129.0445</v>
      </c>
      <c r="I83" s="69">
        <f t="shared" si="5"/>
        <v>10377.5293</v>
      </c>
      <c r="J83" s="69">
        <f t="shared" si="6"/>
        <v>207.5505</v>
      </c>
      <c r="K83" s="69">
        <f t="shared" si="7"/>
        <v>10585.0798</v>
      </c>
      <c r="L83" s="70">
        <f t="shared" si="8"/>
        <v>170000</v>
      </c>
      <c r="M83" s="59">
        <f t="shared" si="9"/>
        <v>159414.92019999999</v>
      </c>
      <c r="N83" s="59"/>
      <c r="O83" s="68">
        <f t="shared" si="10"/>
        <v>141.94888888888889</v>
      </c>
      <c r="P83" s="68">
        <f t="shared" si="12"/>
        <v>207.80867474747473</v>
      </c>
    </row>
    <row r="84" spans="3:16" ht="16.2" customHeight="1" x14ac:dyDescent="0.3">
      <c r="C84" s="51">
        <f t="shared" si="13"/>
        <v>46006</v>
      </c>
      <c r="D84" s="66">
        <f t="shared" si="14"/>
        <v>1151.5151515151515</v>
      </c>
      <c r="E84" s="66">
        <f t="shared" si="11"/>
        <v>2262.6262626262624</v>
      </c>
      <c r="F84" s="66">
        <f t="shared" si="15"/>
        <v>1111.1111111111109</v>
      </c>
      <c r="G84" s="67">
        <f t="shared" si="3"/>
        <v>9888.8888888888869</v>
      </c>
      <c r="H84" s="68">
        <f t="shared" si="4"/>
        <v>129.0445</v>
      </c>
      <c r="I84" s="69">
        <f t="shared" si="5"/>
        <v>10017.933300000001</v>
      </c>
      <c r="J84" s="69">
        <f t="shared" si="6"/>
        <v>200.3586</v>
      </c>
      <c r="K84" s="69">
        <f t="shared" si="7"/>
        <v>10218.2919</v>
      </c>
      <c r="L84" s="70">
        <f t="shared" si="8"/>
        <v>0</v>
      </c>
      <c r="M84" s="59">
        <f t="shared" si="9"/>
        <v>149196.62829999998</v>
      </c>
      <c r="N84" s="59"/>
      <c r="O84" s="68">
        <f t="shared" si="10"/>
        <v>141.94888888888889</v>
      </c>
      <c r="P84" s="68">
        <f t="shared" si="12"/>
        <v>200.6167555555555</v>
      </c>
    </row>
    <row r="85" spans="3:16" ht="16.2" customHeight="1" x14ac:dyDescent="0.3">
      <c r="C85" s="51">
        <f t="shared" si="13"/>
        <v>46007</v>
      </c>
      <c r="D85" s="66">
        <f t="shared" si="14"/>
        <v>2262.6262626262624</v>
      </c>
      <c r="E85" s="66">
        <f t="shared" si="11"/>
        <v>3474.7474747474744</v>
      </c>
      <c r="F85" s="66">
        <f t="shared" si="15"/>
        <v>1212.121212121212</v>
      </c>
      <c r="G85" s="67">
        <f t="shared" si="3"/>
        <v>10787.878787878788</v>
      </c>
      <c r="H85" s="68">
        <f t="shared" si="4"/>
        <v>129.0445</v>
      </c>
      <c r="I85" s="69">
        <f t="shared" si="5"/>
        <v>10916.923199999999</v>
      </c>
      <c r="J85" s="69">
        <f t="shared" si="6"/>
        <v>218.33840000000001</v>
      </c>
      <c r="K85" s="69">
        <f t="shared" si="7"/>
        <v>11135.2616</v>
      </c>
      <c r="L85" s="70">
        <f t="shared" si="8"/>
        <v>0</v>
      </c>
      <c r="M85" s="59">
        <f t="shared" si="9"/>
        <v>138061.36669999998</v>
      </c>
      <c r="N85" s="59"/>
      <c r="O85" s="68">
        <f t="shared" si="10"/>
        <v>141.94888888888889</v>
      </c>
      <c r="P85" s="68">
        <f t="shared" si="12"/>
        <v>218.59655353535354</v>
      </c>
    </row>
    <row r="86" spans="3:16" ht="16.2" customHeight="1" x14ac:dyDescent="0.3">
      <c r="C86" s="51">
        <f t="shared" si="13"/>
        <v>46008</v>
      </c>
      <c r="D86" s="66">
        <f t="shared" si="14"/>
        <v>3474.7474747474744</v>
      </c>
      <c r="E86" s="66">
        <f t="shared" si="11"/>
        <v>4585.8585858585857</v>
      </c>
      <c r="F86" s="66">
        <f t="shared" si="15"/>
        <v>1111.1111111111113</v>
      </c>
      <c r="G86" s="67">
        <f t="shared" si="3"/>
        <v>9888.8888888888905</v>
      </c>
      <c r="H86" s="68">
        <f t="shared" si="4"/>
        <v>129.0445</v>
      </c>
      <c r="I86" s="69">
        <f t="shared" si="5"/>
        <v>10017.933300000001</v>
      </c>
      <c r="J86" s="69">
        <f t="shared" si="6"/>
        <v>200.3586</v>
      </c>
      <c r="K86" s="69">
        <f t="shared" si="7"/>
        <v>10218.2919</v>
      </c>
      <c r="L86" s="70">
        <f t="shared" si="8"/>
        <v>0</v>
      </c>
      <c r="M86" s="59">
        <f t="shared" si="9"/>
        <v>127843.07479999999</v>
      </c>
      <c r="N86" s="59"/>
      <c r="O86" s="68">
        <f t="shared" si="10"/>
        <v>141.94888888888889</v>
      </c>
      <c r="P86" s="68">
        <f t="shared" si="12"/>
        <v>200.61675555555559</v>
      </c>
    </row>
    <row r="87" spans="3:16" ht="16.2" customHeight="1" x14ac:dyDescent="0.3">
      <c r="C87" s="51">
        <f t="shared" si="13"/>
        <v>46009</v>
      </c>
      <c r="D87" s="66">
        <f t="shared" si="14"/>
        <v>4585.8585858585857</v>
      </c>
      <c r="E87" s="66">
        <f t="shared" si="11"/>
        <v>5717.1717171717173</v>
      </c>
      <c r="F87" s="66">
        <f t="shared" si="15"/>
        <v>1131.3131313131316</v>
      </c>
      <c r="G87" s="67">
        <f t="shared" si="3"/>
        <v>10068.686868686871</v>
      </c>
      <c r="H87" s="68">
        <f t="shared" si="4"/>
        <v>129.0445</v>
      </c>
      <c r="I87" s="69">
        <f t="shared" si="5"/>
        <v>10197.731299999999</v>
      </c>
      <c r="J87" s="69">
        <f t="shared" si="6"/>
        <v>203.9546</v>
      </c>
      <c r="K87" s="69">
        <f t="shared" si="7"/>
        <v>10401.6859</v>
      </c>
      <c r="L87" s="70">
        <f t="shared" si="8"/>
        <v>0</v>
      </c>
      <c r="M87" s="59">
        <f t="shared" si="9"/>
        <v>117441.38889999999</v>
      </c>
      <c r="N87" s="59"/>
      <c r="O87" s="68">
        <f t="shared" si="10"/>
        <v>141.94888888888889</v>
      </c>
      <c r="P87" s="68">
        <f t="shared" si="12"/>
        <v>204.2127151515152</v>
      </c>
    </row>
    <row r="88" spans="3:16" ht="16.2" customHeight="1" x14ac:dyDescent="0.3">
      <c r="C88" s="51">
        <f t="shared" si="13"/>
        <v>46010</v>
      </c>
      <c r="D88" s="66">
        <f t="shared" si="14"/>
        <v>5717.1717171717173</v>
      </c>
      <c r="E88" s="66">
        <f t="shared" si="11"/>
        <v>6828.2828282828286</v>
      </c>
      <c r="F88" s="66">
        <f t="shared" si="15"/>
        <v>1111.1111111111113</v>
      </c>
      <c r="G88" s="67">
        <f t="shared" si="3"/>
        <v>9888.8888888888905</v>
      </c>
      <c r="H88" s="68">
        <f t="shared" si="4"/>
        <v>129.0445</v>
      </c>
      <c r="I88" s="69">
        <f t="shared" si="5"/>
        <v>10017.933300000001</v>
      </c>
      <c r="J88" s="69">
        <f t="shared" si="6"/>
        <v>200.3586</v>
      </c>
      <c r="K88" s="69">
        <f t="shared" si="7"/>
        <v>10218.2919</v>
      </c>
      <c r="L88" s="70">
        <f t="shared" si="8"/>
        <v>0</v>
      </c>
      <c r="M88" s="59">
        <f t="shared" si="9"/>
        <v>107223.09699999999</v>
      </c>
      <c r="N88" s="59"/>
      <c r="O88" s="68">
        <f t="shared" si="10"/>
        <v>141.94888888888889</v>
      </c>
      <c r="P88" s="68">
        <f t="shared" si="12"/>
        <v>200.61675555555559</v>
      </c>
    </row>
    <row r="89" spans="3:16" ht="16.2" customHeight="1" x14ac:dyDescent="0.3">
      <c r="C89" s="51">
        <f t="shared" si="13"/>
        <v>46011</v>
      </c>
      <c r="D89" s="66">
        <f t="shared" si="14"/>
        <v>6828.2828282828286</v>
      </c>
      <c r="E89" s="66">
        <f t="shared" si="11"/>
        <v>7989.8989898989903</v>
      </c>
      <c r="F89" s="66">
        <f t="shared" si="15"/>
        <v>1161.6161616161617</v>
      </c>
      <c r="G89" s="67">
        <f t="shared" si="3"/>
        <v>10338.383838383839</v>
      </c>
      <c r="H89" s="68">
        <f t="shared" si="4"/>
        <v>129.0445</v>
      </c>
      <c r="I89" s="69">
        <f t="shared" si="5"/>
        <v>10467.4283</v>
      </c>
      <c r="J89" s="69">
        <f t="shared" si="6"/>
        <v>209.3485</v>
      </c>
      <c r="K89" s="69">
        <f t="shared" si="7"/>
        <v>10676.7768</v>
      </c>
      <c r="L89" s="70">
        <f t="shared" si="8"/>
        <v>0</v>
      </c>
      <c r="M89" s="59">
        <f t="shared" si="9"/>
        <v>96546.320199999987</v>
      </c>
      <c r="N89" s="59"/>
      <c r="O89" s="68">
        <f t="shared" si="10"/>
        <v>141.94888888888889</v>
      </c>
      <c r="P89" s="68">
        <f t="shared" si="12"/>
        <v>209.60665454545455</v>
      </c>
    </row>
    <row r="90" spans="3:16" ht="16.2" customHeight="1" x14ac:dyDescent="0.3">
      <c r="C90" s="51">
        <f t="shared" si="13"/>
        <v>46012</v>
      </c>
      <c r="D90" s="66">
        <f t="shared" si="14"/>
        <v>7989.8989898989903</v>
      </c>
      <c r="E90" s="66">
        <f t="shared" si="11"/>
        <v>9181.818181818182</v>
      </c>
      <c r="F90" s="66">
        <f t="shared" si="15"/>
        <v>1191.9191919191917</v>
      </c>
      <c r="G90" s="67">
        <f t="shared" si="3"/>
        <v>10608.080808080806</v>
      </c>
      <c r="H90" s="68">
        <f t="shared" si="4"/>
        <v>129.0445</v>
      </c>
      <c r="I90" s="69">
        <f t="shared" si="5"/>
        <v>10737.1253</v>
      </c>
      <c r="J90" s="69">
        <f t="shared" si="6"/>
        <v>214.74250000000001</v>
      </c>
      <c r="K90" s="69">
        <f t="shared" si="7"/>
        <v>10951.8678</v>
      </c>
      <c r="L90" s="70">
        <f t="shared" si="8"/>
        <v>0</v>
      </c>
      <c r="M90" s="59">
        <f t="shared" si="9"/>
        <v>85594.45239999998</v>
      </c>
      <c r="N90" s="59"/>
      <c r="O90" s="68">
        <f t="shared" si="10"/>
        <v>141.94888888888889</v>
      </c>
      <c r="P90" s="68">
        <f t="shared" si="12"/>
        <v>215.00059393939387</v>
      </c>
    </row>
    <row r="91" spans="3:16" ht="16.2" customHeight="1" x14ac:dyDescent="0.3">
      <c r="C91" s="51">
        <f t="shared" si="13"/>
        <v>46013</v>
      </c>
      <c r="D91" s="66">
        <f t="shared" si="14"/>
        <v>9181.818181818182</v>
      </c>
      <c r="E91" s="66">
        <f t="shared" si="11"/>
        <v>10292.929292929293</v>
      </c>
      <c r="F91" s="66">
        <f t="shared" si="15"/>
        <v>1111.1111111111113</v>
      </c>
      <c r="G91" s="67">
        <f t="shared" si="3"/>
        <v>9888.8888888888905</v>
      </c>
      <c r="H91" s="68">
        <f t="shared" si="4"/>
        <v>129.0445</v>
      </c>
      <c r="I91" s="69">
        <f t="shared" si="5"/>
        <v>10017.933300000001</v>
      </c>
      <c r="J91" s="69">
        <f t="shared" si="6"/>
        <v>200.3586</v>
      </c>
      <c r="K91" s="69">
        <f t="shared" si="7"/>
        <v>10218.2919</v>
      </c>
      <c r="L91" s="70">
        <f t="shared" si="8"/>
        <v>0</v>
      </c>
      <c r="M91" s="59">
        <f t="shared" si="9"/>
        <v>75376.160499999984</v>
      </c>
      <c r="N91" s="59"/>
      <c r="O91" s="68">
        <f t="shared" si="10"/>
        <v>141.94888888888889</v>
      </c>
      <c r="P91" s="68">
        <f t="shared" si="12"/>
        <v>200.61675555555559</v>
      </c>
    </row>
    <row r="92" spans="3:16" ht="16.2" customHeight="1" x14ac:dyDescent="0.3">
      <c r="C92" s="51">
        <f t="shared" si="13"/>
        <v>46014</v>
      </c>
      <c r="D92" s="66">
        <f t="shared" si="14"/>
        <v>10292.929292929293</v>
      </c>
      <c r="E92" s="66">
        <f t="shared" si="11"/>
        <v>11424.242424242424</v>
      </c>
      <c r="F92" s="66">
        <f t="shared" si="15"/>
        <v>1131.3131313131307</v>
      </c>
      <c r="G92" s="67">
        <f t="shared" si="3"/>
        <v>10068.686868686864</v>
      </c>
      <c r="H92" s="68">
        <f t="shared" si="4"/>
        <v>129.0445</v>
      </c>
      <c r="I92" s="69">
        <f t="shared" si="5"/>
        <v>10197.731299999999</v>
      </c>
      <c r="J92" s="69">
        <f t="shared" si="6"/>
        <v>203.9546</v>
      </c>
      <c r="K92" s="69">
        <f t="shared" si="7"/>
        <v>10401.6859</v>
      </c>
      <c r="L92" s="70">
        <f t="shared" si="8"/>
        <v>0</v>
      </c>
      <c r="M92" s="59">
        <f t="shared" si="9"/>
        <v>64974.474599999987</v>
      </c>
      <c r="N92" s="59"/>
      <c r="O92" s="68">
        <f t="shared" si="10"/>
        <v>141.94888888888889</v>
      </c>
      <c r="P92" s="68">
        <f t="shared" si="12"/>
        <v>204.21271515151506</v>
      </c>
    </row>
    <row r="93" spans="3:16" ht="16.2" customHeight="1" x14ac:dyDescent="0.3">
      <c r="C93" s="51">
        <f t="shared" si="13"/>
        <v>46015</v>
      </c>
      <c r="D93" s="66">
        <f t="shared" si="14"/>
        <v>11424.242424242424</v>
      </c>
      <c r="E93" s="66">
        <f t="shared" si="11"/>
        <v>12666.666666666666</v>
      </c>
      <c r="F93" s="66">
        <f t="shared" si="15"/>
        <v>1242.424242424242</v>
      </c>
      <c r="G93" s="67">
        <f t="shared" si="3"/>
        <v>11057.575757575754</v>
      </c>
      <c r="H93" s="68">
        <f t="shared" si="4"/>
        <v>129.0445</v>
      </c>
      <c r="I93" s="69">
        <f t="shared" si="5"/>
        <v>11186.620199999999</v>
      </c>
      <c r="J93" s="69">
        <f t="shared" si="6"/>
        <v>223.73240000000001</v>
      </c>
      <c r="K93" s="69">
        <f t="shared" si="7"/>
        <v>11410.3526</v>
      </c>
      <c r="L93" s="70">
        <f t="shared" si="8"/>
        <v>0</v>
      </c>
      <c r="M93" s="59">
        <f t="shared" si="9"/>
        <v>53564.121999999988</v>
      </c>
      <c r="N93" s="59"/>
      <c r="O93" s="68">
        <f t="shared" si="10"/>
        <v>141.94888888888889</v>
      </c>
      <c r="P93" s="68">
        <f t="shared" si="12"/>
        <v>223.99049292929286</v>
      </c>
    </row>
    <row r="94" spans="3:16" ht="16.2" customHeight="1" x14ac:dyDescent="0.3">
      <c r="C94" s="51">
        <f t="shared" si="13"/>
        <v>46016</v>
      </c>
      <c r="D94" s="66">
        <f t="shared" si="14"/>
        <v>12666.666666666666</v>
      </c>
      <c r="E94" s="66">
        <f t="shared" si="11"/>
        <v>13939.393939393938</v>
      </c>
      <c r="F94" s="66">
        <f t="shared" si="15"/>
        <v>1272.7272727272721</v>
      </c>
      <c r="G94" s="67">
        <f t="shared" si="3"/>
        <v>11327.272727272722</v>
      </c>
      <c r="H94" s="68">
        <f t="shared" si="4"/>
        <v>129.0445</v>
      </c>
      <c r="I94" s="69">
        <f t="shared" si="5"/>
        <v>11456.3172</v>
      </c>
      <c r="J94" s="69">
        <f t="shared" si="6"/>
        <v>229.12629999999999</v>
      </c>
      <c r="K94" s="69">
        <f t="shared" si="7"/>
        <v>11685.443499999999</v>
      </c>
      <c r="L94" s="70">
        <f t="shared" si="8"/>
        <v>0</v>
      </c>
      <c r="M94" s="59">
        <f t="shared" si="9"/>
        <v>41878.678499999987</v>
      </c>
      <c r="N94" s="59"/>
      <c r="O94" s="68">
        <f t="shared" si="10"/>
        <v>141.94888888888889</v>
      </c>
      <c r="P94" s="68">
        <f t="shared" si="12"/>
        <v>229.3844323232322</v>
      </c>
    </row>
    <row r="95" spans="3:16" ht="16.2" customHeight="1" x14ac:dyDescent="0.3">
      <c r="C95" s="51">
        <f t="shared" si="13"/>
        <v>46017</v>
      </c>
      <c r="D95" s="66">
        <f t="shared" si="14"/>
        <v>13939.393939393938</v>
      </c>
      <c r="E95" s="66">
        <f t="shared" si="11"/>
        <v>15050.505050505049</v>
      </c>
      <c r="F95" s="66">
        <f t="shared" si="15"/>
        <v>1111.1111111111113</v>
      </c>
      <c r="G95" s="67">
        <f t="shared" si="3"/>
        <v>9888.8888888888905</v>
      </c>
      <c r="H95" s="68">
        <f t="shared" si="4"/>
        <v>129.0445</v>
      </c>
      <c r="I95" s="69">
        <f t="shared" si="5"/>
        <v>10017.933300000001</v>
      </c>
      <c r="J95" s="69">
        <f t="shared" si="6"/>
        <v>200.3586</v>
      </c>
      <c r="K95" s="69">
        <f t="shared" si="7"/>
        <v>10218.2919</v>
      </c>
      <c r="L95" s="70">
        <f t="shared" si="8"/>
        <v>0</v>
      </c>
      <c r="M95" s="59">
        <f t="shared" si="9"/>
        <v>31660.386599999987</v>
      </c>
      <c r="N95" s="59"/>
      <c r="O95" s="68">
        <f t="shared" si="10"/>
        <v>141.94888888888889</v>
      </c>
      <c r="P95" s="68">
        <f t="shared" si="12"/>
        <v>200.61675555555559</v>
      </c>
    </row>
    <row r="96" spans="3:16" ht="16.2" customHeight="1" x14ac:dyDescent="0.3">
      <c r="C96" s="51">
        <f t="shared" si="13"/>
        <v>46018</v>
      </c>
      <c r="D96" s="66">
        <f t="shared" si="14"/>
        <v>15050.505050505049</v>
      </c>
      <c r="E96" s="66">
        <f t="shared" si="11"/>
        <v>16141.414141414141</v>
      </c>
      <c r="F96" s="66">
        <f t="shared" si="15"/>
        <v>1090.9090909090919</v>
      </c>
      <c r="G96" s="67">
        <f t="shared" si="3"/>
        <v>9709.090909090919</v>
      </c>
      <c r="H96" s="68">
        <f t="shared" si="4"/>
        <v>129.0445</v>
      </c>
      <c r="I96" s="69">
        <f t="shared" si="5"/>
        <v>9838.1353999999992</v>
      </c>
      <c r="J96" s="69">
        <f t="shared" si="6"/>
        <v>196.7627</v>
      </c>
      <c r="K96" s="69">
        <f t="shared" si="7"/>
        <v>10034.8981</v>
      </c>
      <c r="L96" s="70">
        <f t="shared" si="8"/>
        <v>0</v>
      </c>
      <c r="M96" s="59">
        <f t="shared" si="9"/>
        <v>21625.488499999985</v>
      </c>
      <c r="N96" s="59"/>
      <c r="O96" s="68">
        <f t="shared" si="10"/>
        <v>141.94888888888889</v>
      </c>
      <c r="P96" s="68">
        <f t="shared" si="12"/>
        <v>197.02079595959614</v>
      </c>
    </row>
    <row r="97" spans="3:16" ht="16.2" customHeight="1" x14ac:dyDescent="0.3">
      <c r="C97" s="51">
        <f t="shared" si="13"/>
        <v>46019</v>
      </c>
      <c r="D97" s="66">
        <f t="shared" si="14"/>
        <v>16141.414141414141</v>
      </c>
      <c r="E97" s="66">
        <f t="shared" si="11"/>
        <v>17272.727272727272</v>
      </c>
      <c r="F97" s="66">
        <f t="shared" si="15"/>
        <v>1131.3131313131307</v>
      </c>
      <c r="G97" s="67">
        <f t="shared" si="3"/>
        <v>10068.686868686864</v>
      </c>
      <c r="H97" s="68">
        <f t="shared" si="4"/>
        <v>129.0445</v>
      </c>
      <c r="I97" s="69">
        <f t="shared" si="5"/>
        <v>10197.731299999999</v>
      </c>
      <c r="J97" s="69">
        <f t="shared" si="6"/>
        <v>203.9546</v>
      </c>
      <c r="K97" s="69">
        <f t="shared" si="7"/>
        <v>10401.6859</v>
      </c>
      <c r="L97" s="70">
        <f t="shared" si="8"/>
        <v>0</v>
      </c>
      <c r="M97" s="59">
        <f t="shared" si="9"/>
        <v>11223.802599999985</v>
      </c>
      <c r="N97" s="59"/>
      <c r="O97" s="68">
        <f t="shared" si="10"/>
        <v>141.94888888888889</v>
      </c>
      <c r="P97" s="68">
        <f t="shared" si="12"/>
        <v>204.21271515151506</v>
      </c>
    </row>
    <row r="98" spans="3:16" ht="16.2" customHeight="1" x14ac:dyDescent="0.3">
      <c r="C98" s="51">
        <f t="shared" si="13"/>
        <v>46020</v>
      </c>
      <c r="D98" s="66">
        <f t="shared" si="14"/>
        <v>17272.727272727272</v>
      </c>
      <c r="E98" s="66">
        <f t="shared" si="11"/>
        <v>18383.838383838382</v>
      </c>
      <c r="F98" s="66">
        <f t="shared" si="15"/>
        <v>1111.1111111111095</v>
      </c>
      <c r="G98" s="67">
        <f t="shared" si="3"/>
        <v>9888.8888888888741</v>
      </c>
      <c r="H98" s="68">
        <f t="shared" si="4"/>
        <v>129.0445</v>
      </c>
      <c r="I98" s="69">
        <f t="shared" si="5"/>
        <v>10017.933300000001</v>
      </c>
      <c r="J98" s="69">
        <f t="shared" si="6"/>
        <v>200.3586</v>
      </c>
      <c r="K98" s="69">
        <f t="shared" si="7"/>
        <v>10218.2919</v>
      </c>
      <c r="L98" s="70">
        <f t="shared" si="8"/>
        <v>0</v>
      </c>
      <c r="M98" s="59">
        <f t="shared" si="9"/>
        <v>1005.5106999999844</v>
      </c>
      <c r="N98" s="59"/>
      <c r="O98" s="68">
        <f t="shared" si="10"/>
        <v>141.94888888888889</v>
      </c>
      <c r="P98" s="68">
        <f t="shared" si="12"/>
        <v>200.61675555555524</v>
      </c>
    </row>
    <row r="99" spans="3:16" ht="16.2" customHeight="1" x14ac:dyDescent="0.3">
      <c r="C99" s="51">
        <f t="shared" si="13"/>
        <v>46021</v>
      </c>
      <c r="D99" s="66">
        <f t="shared" si="14"/>
        <v>18383.838383838382</v>
      </c>
      <c r="E99" s="66">
        <f t="shared" si="11"/>
        <v>19515.151515151512</v>
      </c>
      <c r="F99" s="66">
        <f t="shared" si="15"/>
        <v>1131.3131313131307</v>
      </c>
      <c r="G99" s="67">
        <f t="shared" si="3"/>
        <v>10068.686868686864</v>
      </c>
      <c r="H99" s="68">
        <f t="shared" si="4"/>
        <v>129.0445</v>
      </c>
      <c r="I99" s="69">
        <f t="shared" si="5"/>
        <v>10197.731299999999</v>
      </c>
      <c r="J99" s="69">
        <f t="shared" si="6"/>
        <v>203.9546</v>
      </c>
      <c r="K99" s="69">
        <f t="shared" si="7"/>
        <v>10401.6859</v>
      </c>
      <c r="L99" s="70">
        <f t="shared" si="8"/>
        <v>0</v>
      </c>
      <c r="M99" s="59">
        <f t="shared" si="9"/>
        <v>-9396.175200000016</v>
      </c>
      <c r="N99" s="59"/>
      <c r="O99" s="68">
        <f t="shared" si="10"/>
        <v>141.94888888888889</v>
      </c>
      <c r="P99" s="68">
        <f t="shared" si="12"/>
        <v>204.21271515151506</v>
      </c>
    </row>
    <row r="100" spans="3:16" ht="16.2" customHeight="1" x14ac:dyDescent="0.3">
      <c r="C100" s="51">
        <f t="shared" si="13"/>
        <v>46022</v>
      </c>
      <c r="D100" s="66">
        <f t="shared" si="14"/>
        <v>19515.151515151512</v>
      </c>
      <c r="E100" s="66">
        <f t="shared" si="11"/>
        <v>20707.070707070703</v>
      </c>
      <c r="F100" s="66">
        <f t="shared" si="15"/>
        <v>1191.9191919191908</v>
      </c>
      <c r="G100" s="67">
        <f t="shared" si="3"/>
        <v>10608.080808080798</v>
      </c>
      <c r="H100" s="68">
        <f t="shared" si="4"/>
        <v>129.0445</v>
      </c>
      <c r="I100" s="69">
        <f t="shared" si="5"/>
        <v>10737.1253</v>
      </c>
      <c r="J100" s="69">
        <f t="shared" si="6"/>
        <v>214.74250000000001</v>
      </c>
      <c r="K100" s="69">
        <f t="shared" si="7"/>
        <v>10951.8678</v>
      </c>
      <c r="L100" s="70">
        <f t="shared" si="8"/>
        <v>0</v>
      </c>
      <c r="M100" s="59">
        <f t="shared" si="9"/>
        <v>-20348.043000000016</v>
      </c>
      <c r="O100" s="68">
        <f t="shared" si="10"/>
        <v>141.94888888888889</v>
      </c>
      <c r="P100" s="68">
        <f t="shared" si="12"/>
        <v>215.00059393939372</v>
      </c>
    </row>
    <row r="101" spans="3:16" ht="16.2" customHeight="1" x14ac:dyDescent="0.3">
      <c r="C101" s="51"/>
      <c r="D101" s="66"/>
      <c r="E101" s="66"/>
      <c r="F101" s="66"/>
      <c r="G101" s="27"/>
      <c r="H101" s="67"/>
      <c r="I101" s="68"/>
      <c r="J101" s="69"/>
      <c r="K101" s="69"/>
      <c r="L101" s="69"/>
      <c r="M101" s="71">
        <f>IF(C100&lt;$D$15,0,IF(C100=$D$15,L100-K100,M99-K100+L100+N101-O101-P101))</f>
        <v>-20584.9683858586</v>
      </c>
      <c r="N101" s="71"/>
      <c r="O101" s="72">
        <f>SUM(O70:O100)-SUM(H70:H100)</f>
        <v>232.27900000000045</v>
      </c>
      <c r="P101" s="72">
        <f>SUM(P70:P100)-SUM(J70:J100)</f>
        <v>4.6463858585852904</v>
      </c>
    </row>
    <row r="102" spans="3:16" ht="16.2" customHeight="1" x14ac:dyDescent="0.3">
      <c r="C102" s="51"/>
    </row>
    <row r="103" spans="3:16" ht="16.2" customHeight="1" x14ac:dyDescent="0.3">
      <c r="C103" s="51"/>
    </row>
    <row r="104" spans="3:16" ht="16.2" customHeight="1" x14ac:dyDescent="0.3">
      <c r="C104" s="51"/>
    </row>
    <row r="105" spans="3:16" ht="16.2" customHeight="1" x14ac:dyDescent="0.3">
      <c r="C105" s="51"/>
    </row>
    <row r="106" spans="3:16" ht="16.2" customHeight="1" x14ac:dyDescent="0.3">
      <c r="C106" s="51"/>
    </row>
    <row r="107" spans="3:16" ht="16.2" customHeight="1" x14ac:dyDescent="0.3">
      <c r="C107" s="51"/>
    </row>
    <row r="108" spans="3:16" ht="16.2" customHeight="1" x14ac:dyDescent="0.3">
      <c r="C108" s="51"/>
    </row>
    <row r="109" spans="3:16" ht="16.2" customHeight="1" x14ac:dyDescent="0.3">
      <c r="C109" s="51"/>
    </row>
    <row r="110" spans="3:16" ht="16.2" customHeight="1" x14ac:dyDescent="0.3">
      <c r="C110" s="51"/>
    </row>
    <row r="111" spans="3:16" ht="16.2" customHeight="1" x14ac:dyDescent="0.3">
      <c r="C111" s="51"/>
    </row>
    <row r="112" spans="3:16" ht="16.2" customHeight="1" x14ac:dyDescent="0.3">
      <c r="C112" s="51"/>
    </row>
    <row r="113" spans="3:3" ht="16.2" customHeight="1" x14ac:dyDescent="0.3">
      <c r="C113" s="51"/>
    </row>
    <row r="114" spans="3:3" ht="16.2" customHeight="1" x14ac:dyDescent="0.3">
      <c r="C114" s="51"/>
    </row>
    <row r="115" spans="3:3" ht="16.2" customHeight="1" x14ac:dyDescent="0.3">
      <c r="C115" s="51"/>
    </row>
    <row r="116" spans="3:3" ht="16.2" customHeight="1" x14ac:dyDescent="0.3">
      <c r="C116" s="51"/>
    </row>
    <row r="117" spans="3:3" ht="16.2" customHeight="1" x14ac:dyDescent="0.3">
      <c r="C117" s="51"/>
    </row>
    <row r="128" spans="3:3" ht="16.2" customHeight="1" x14ac:dyDescent="0.3">
      <c r="C128" s="51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3.3Commercial(HT)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2026-01-16T03:55:34Z</dcterms:created>
  <dcterms:modified xsi:type="dcterms:W3CDTF">2026-01-28T09:32:38Z</dcterms:modified>
</cp:coreProperties>
</file>