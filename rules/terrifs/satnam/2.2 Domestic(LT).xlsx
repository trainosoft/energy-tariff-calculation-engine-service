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rutusoft\energy-tariff-calculation-engine-service\rules\terrifs\satnam\"/>
    </mc:Choice>
  </mc:AlternateContent>
  <xr:revisionPtr revIDLastSave="0" documentId="8_{0518281E-6639-4405-A904-0101ABDFC5A4}" xr6:coauthVersionLast="47" xr6:coauthVersionMax="47" xr10:uidLastSave="{00000000-0000-0000-0000-000000000000}"/>
  <bookViews>
    <workbookView xWindow="-108" yWindow="-108" windowWidth="23256" windowHeight="12456" xr2:uid="{ED29571E-8BF4-4746-BA4E-8B363150657D}"/>
  </bookViews>
  <sheets>
    <sheet name="2.2 Domestic(L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9" i="1" l="1"/>
  <c r="E74" i="1"/>
  <c r="C43" i="1"/>
  <c r="E35" i="1"/>
  <c r="F32" i="1"/>
  <c r="F31" i="1"/>
  <c r="F30" i="1"/>
  <c r="D22" i="1"/>
  <c r="D23" i="1" s="1"/>
  <c r="D21" i="1"/>
  <c r="D20" i="1"/>
  <c r="E31" i="1" l="1"/>
  <c r="D32" i="1" s="1"/>
  <c r="E30" i="1"/>
  <c r="D31" i="1" s="1"/>
  <c r="E36" i="1"/>
  <c r="E37" i="1" s="1"/>
  <c r="C80" i="1"/>
  <c r="C44" i="1"/>
  <c r="D43" i="1"/>
  <c r="E80" i="1" l="1"/>
  <c r="C45" i="1"/>
  <c r="D44" i="1"/>
  <c r="N80" i="1"/>
  <c r="M80" i="1"/>
  <c r="C81" i="1"/>
  <c r="I80" i="1"/>
  <c r="C46" i="1" l="1"/>
  <c r="D45" i="1"/>
  <c r="N81" i="1"/>
  <c r="M81" i="1"/>
  <c r="C82" i="1"/>
  <c r="I81" i="1"/>
  <c r="G80" i="1"/>
  <c r="H80" i="1" s="1"/>
  <c r="J80" i="1" s="1"/>
  <c r="F80" i="1"/>
  <c r="E81" i="1"/>
  <c r="D81" i="1"/>
  <c r="N82" i="1" l="1"/>
  <c r="M82" i="1"/>
  <c r="C83" i="1"/>
  <c r="I82" i="1"/>
  <c r="G81" i="1"/>
  <c r="H81" i="1" s="1"/>
  <c r="J81" i="1" s="1"/>
  <c r="F81" i="1"/>
  <c r="E82" i="1"/>
  <c r="D82" i="1"/>
  <c r="C47" i="1"/>
  <c r="D46" i="1"/>
  <c r="K80" i="1"/>
  <c r="L80" i="1" s="1"/>
  <c r="D47" i="1" l="1"/>
  <c r="C48" i="1"/>
  <c r="M83" i="1"/>
  <c r="N83" i="1"/>
  <c r="C84" i="1"/>
  <c r="I83" i="1"/>
  <c r="G82" i="1"/>
  <c r="F82" i="1"/>
  <c r="E83" i="1"/>
  <c r="D83" i="1"/>
  <c r="K81" i="1"/>
  <c r="L81" i="1" s="1"/>
  <c r="G83" i="1" l="1"/>
  <c r="F83" i="1"/>
  <c r="E84" i="1"/>
  <c r="D84" i="1"/>
  <c r="D48" i="1"/>
  <c r="C49" i="1"/>
  <c r="H82" i="1"/>
  <c r="J82" i="1" s="1"/>
  <c r="N84" i="1"/>
  <c r="C85" i="1"/>
  <c r="M84" i="1"/>
  <c r="I84" i="1"/>
  <c r="M85" i="1" l="1"/>
  <c r="N85" i="1"/>
  <c r="C86" i="1"/>
  <c r="I85" i="1"/>
  <c r="G84" i="1"/>
  <c r="H84" i="1" s="1"/>
  <c r="J84" i="1" s="1"/>
  <c r="F84" i="1"/>
  <c r="E85" i="1"/>
  <c r="D85" i="1"/>
  <c r="K82" i="1"/>
  <c r="L82" i="1" s="1"/>
  <c r="C50" i="1"/>
  <c r="D49" i="1"/>
  <c r="H83" i="1"/>
  <c r="J83" i="1" s="1"/>
  <c r="M86" i="1" l="1"/>
  <c r="N86" i="1"/>
  <c r="C87" i="1"/>
  <c r="I86" i="1"/>
  <c r="K83" i="1"/>
  <c r="L83" i="1" s="1"/>
  <c r="C51" i="1"/>
  <c r="D50" i="1"/>
  <c r="G85" i="1"/>
  <c r="F85" i="1"/>
  <c r="E86" i="1"/>
  <c r="D86" i="1"/>
  <c r="K84" i="1"/>
  <c r="L84" i="1" s="1"/>
  <c r="C52" i="1" l="1"/>
  <c r="D51" i="1"/>
  <c r="H85" i="1"/>
  <c r="J85" i="1" s="1"/>
  <c r="M87" i="1"/>
  <c r="N87" i="1"/>
  <c r="C88" i="1"/>
  <c r="I87" i="1"/>
  <c r="G86" i="1"/>
  <c r="F86" i="1"/>
  <c r="E87" i="1"/>
  <c r="D87" i="1"/>
  <c r="M88" i="1" l="1"/>
  <c r="N88" i="1"/>
  <c r="C89" i="1"/>
  <c r="I88" i="1"/>
  <c r="H86" i="1"/>
  <c r="J86" i="1" s="1"/>
  <c r="K85" i="1"/>
  <c r="L85" i="1" s="1"/>
  <c r="G87" i="1"/>
  <c r="F87" i="1"/>
  <c r="E88" i="1"/>
  <c r="D88" i="1"/>
  <c r="C53" i="1"/>
  <c r="D52" i="1"/>
  <c r="G88" i="1" l="1"/>
  <c r="F88" i="1"/>
  <c r="E89" i="1"/>
  <c r="D89" i="1"/>
  <c r="D53" i="1"/>
  <c r="C54" i="1"/>
  <c r="H87" i="1"/>
  <c r="J87" i="1" s="1"/>
  <c r="M89" i="1"/>
  <c r="N89" i="1"/>
  <c r="C90" i="1"/>
  <c r="I89" i="1"/>
  <c r="K86" i="1"/>
  <c r="L86" i="1" s="1"/>
  <c r="M90" i="1" l="1"/>
  <c r="N90" i="1"/>
  <c r="C91" i="1"/>
  <c r="I90" i="1"/>
  <c r="D54" i="1"/>
  <c r="C55" i="1"/>
  <c r="K87" i="1"/>
  <c r="L87" i="1" s="1"/>
  <c r="G89" i="1"/>
  <c r="H89" i="1" s="1"/>
  <c r="J89" i="1" s="1"/>
  <c r="F89" i="1"/>
  <c r="E90" i="1"/>
  <c r="D90" i="1"/>
  <c r="H88" i="1"/>
  <c r="J88" i="1" s="1"/>
  <c r="K89" i="1" l="1"/>
  <c r="L89" i="1" s="1"/>
  <c r="G90" i="1"/>
  <c r="F90" i="1"/>
  <c r="E91" i="1"/>
  <c r="D91" i="1"/>
  <c r="C56" i="1"/>
  <c r="D55" i="1"/>
  <c r="M91" i="1"/>
  <c r="N91" i="1"/>
  <c r="C92" i="1"/>
  <c r="I91" i="1"/>
  <c r="K88" i="1"/>
  <c r="L88" i="1" s="1"/>
  <c r="M92" i="1" l="1"/>
  <c r="N92" i="1"/>
  <c r="C93" i="1"/>
  <c r="I92" i="1"/>
  <c r="C57" i="1"/>
  <c r="D56" i="1"/>
  <c r="G91" i="1"/>
  <c r="F91" i="1"/>
  <c r="E92" i="1"/>
  <c r="D92" i="1"/>
  <c r="H90" i="1"/>
  <c r="J90" i="1" s="1"/>
  <c r="G92" i="1" l="1"/>
  <c r="H92" i="1" s="1"/>
  <c r="J92" i="1" s="1"/>
  <c r="F92" i="1"/>
  <c r="E93" i="1"/>
  <c r="D93" i="1"/>
  <c r="K90" i="1"/>
  <c r="L90" i="1" s="1"/>
  <c r="H91" i="1"/>
  <c r="J91" i="1" s="1"/>
  <c r="C58" i="1"/>
  <c r="D57" i="1"/>
  <c r="M93" i="1"/>
  <c r="C94" i="1"/>
  <c r="I93" i="1"/>
  <c r="C59" i="1" l="1"/>
  <c r="D58" i="1"/>
  <c r="K91" i="1"/>
  <c r="L91" i="1" s="1"/>
  <c r="M94" i="1"/>
  <c r="C95" i="1"/>
  <c r="I94" i="1"/>
  <c r="G93" i="1"/>
  <c r="H93" i="1" s="1"/>
  <c r="J93" i="1" s="1"/>
  <c r="F93" i="1"/>
  <c r="E94" i="1"/>
  <c r="D94" i="1"/>
  <c r="K92" i="1"/>
  <c r="L92" i="1" s="1"/>
  <c r="M95" i="1" l="1"/>
  <c r="C96" i="1"/>
  <c r="I95" i="1"/>
  <c r="G94" i="1"/>
  <c r="F94" i="1"/>
  <c r="E95" i="1"/>
  <c r="D95" i="1"/>
  <c r="K93" i="1"/>
  <c r="L93" i="1" s="1"/>
  <c r="N93" i="1" s="1"/>
  <c r="D59" i="1"/>
  <c r="C60" i="1"/>
  <c r="H94" i="1" l="1"/>
  <c r="J94" i="1" s="1"/>
  <c r="G95" i="1"/>
  <c r="F95" i="1"/>
  <c r="E96" i="1"/>
  <c r="D96" i="1"/>
  <c r="M96" i="1"/>
  <c r="C97" i="1"/>
  <c r="I96" i="1"/>
  <c r="D60" i="1"/>
  <c r="C61" i="1"/>
  <c r="G96" i="1" l="1"/>
  <c r="H96" i="1" s="1"/>
  <c r="J96" i="1" s="1"/>
  <c r="F96" i="1"/>
  <c r="E97" i="1"/>
  <c r="D97" i="1"/>
  <c r="M97" i="1"/>
  <c r="C98" i="1"/>
  <c r="I97" i="1"/>
  <c r="H95" i="1"/>
  <c r="J95" i="1" s="1"/>
  <c r="C62" i="1"/>
  <c r="D61" i="1"/>
  <c r="K94" i="1"/>
  <c r="L94" i="1" s="1"/>
  <c r="N94" i="1" s="1"/>
  <c r="C63" i="1" l="1"/>
  <c r="D62" i="1"/>
  <c r="G97" i="1"/>
  <c r="F97" i="1"/>
  <c r="E98" i="1"/>
  <c r="D98" i="1"/>
  <c r="K95" i="1"/>
  <c r="L95" i="1" s="1"/>
  <c r="N95" i="1" s="1"/>
  <c r="M98" i="1"/>
  <c r="C99" i="1"/>
  <c r="I98" i="1"/>
  <c r="K96" i="1"/>
  <c r="L96" i="1" s="1"/>
  <c r="N96" i="1" l="1"/>
  <c r="G98" i="1"/>
  <c r="F98" i="1"/>
  <c r="E99" i="1"/>
  <c r="D99" i="1"/>
  <c r="H97" i="1"/>
  <c r="J97" i="1" s="1"/>
  <c r="M99" i="1"/>
  <c r="C100" i="1"/>
  <c r="I99" i="1"/>
  <c r="C64" i="1"/>
  <c r="D63" i="1"/>
  <c r="C65" i="1" l="1"/>
  <c r="D64" i="1"/>
  <c r="M100" i="1"/>
  <c r="C101" i="1"/>
  <c r="I100" i="1"/>
  <c r="G99" i="1"/>
  <c r="F99" i="1"/>
  <c r="E100" i="1"/>
  <c r="D100" i="1"/>
  <c r="K97" i="1"/>
  <c r="L97" i="1" s="1"/>
  <c r="N97" i="1" s="1"/>
  <c r="H98" i="1"/>
  <c r="J98" i="1" s="1"/>
  <c r="G100" i="1" l="1"/>
  <c r="F100" i="1"/>
  <c r="E101" i="1"/>
  <c r="D101" i="1"/>
  <c r="H99" i="1"/>
  <c r="J99" i="1" s="1"/>
  <c r="M101" i="1"/>
  <c r="C102" i="1"/>
  <c r="I101" i="1"/>
  <c r="K98" i="1"/>
  <c r="L98" i="1" s="1"/>
  <c r="N98" i="1" s="1"/>
  <c r="D65" i="1"/>
  <c r="C66" i="1"/>
  <c r="M102" i="1" l="1"/>
  <c r="C103" i="1"/>
  <c r="I102" i="1"/>
  <c r="G101" i="1"/>
  <c r="F101" i="1"/>
  <c r="E102" i="1"/>
  <c r="D102" i="1"/>
  <c r="K99" i="1"/>
  <c r="L99" i="1" s="1"/>
  <c r="N99" i="1" s="1"/>
  <c r="D66" i="1"/>
  <c r="C67" i="1"/>
  <c r="H100" i="1"/>
  <c r="J100" i="1" s="1"/>
  <c r="G102" i="1" l="1"/>
  <c r="F102" i="1"/>
  <c r="E103" i="1"/>
  <c r="D103" i="1"/>
  <c r="H101" i="1"/>
  <c r="J101" i="1" s="1"/>
  <c r="K100" i="1"/>
  <c r="L100" i="1" s="1"/>
  <c r="N100" i="1" s="1"/>
  <c r="M103" i="1"/>
  <c r="C104" i="1"/>
  <c r="I103" i="1"/>
  <c r="C68" i="1"/>
  <c r="D67" i="1"/>
  <c r="G103" i="1" l="1"/>
  <c r="F103" i="1"/>
  <c r="E104" i="1"/>
  <c r="D104" i="1"/>
  <c r="M104" i="1"/>
  <c r="C105" i="1"/>
  <c r="I104" i="1"/>
  <c r="K101" i="1"/>
  <c r="L101" i="1" s="1"/>
  <c r="N101" i="1" s="1"/>
  <c r="H102" i="1"/>
  <c r="J102" i="1" s="1"/>
  <c r="D68" i="1"/>
  <c r="C69" i="1"/>
  <c r="K102" i="1" l="1"/>
  <c r="L102" i="1"/>
  <c r="N102" i="1" s="1"/>
  <c r="M105" i="1"/>
  <c r="C106" i="1"/>
  <c r="I105" i="1"/>
  <c r="G104" i="1"/>
  <c r="H104" i="1" s="1"/>
  <c r="J104" i="1" s="1"/>
  <c r="F104" i="1"/>
  <c r="E105" i="1"/>
  <c r="D105" i="1"/>
  <c r="C70" i="1"/>
  <c r="D69" i="1"/>
  <c r="H103" i="1"/>
  <c r="J103" i="1" s="1"/>
  <c r="G105" i="1" l="1"/>
  <c r="F105" i="1"/>
  <c r="E106" i="1"/>
  <c r="D106" i="1"/>
  <c r="M106" i="1"/>
  <c r="C107" i="1"/>
  <c r="I106" i="1"/>
  <c r="C71" i="1"/>
  <c r="D70" i="1"/>
  <c r="L103" i="1"/>
  <c r="N103" i="1" s="1"/>
  <c r="K103" i="1"/>
  <c r="K104" i="1"/>
  <c r="L104" i="1" s="1"/>
  <c r="N104" i="1" l="1"/>
  <c r="D71" i="1"/>
  <c r="C72" i="1"/>
  <c r="G106" i="1"/>
  <c r="H106" i="1" s="1"/>
  <c r="J106" i="1" s="1"/>
  <c r="F106" i="1"/>
  <c r="E107" i="1"/>
  <c r="D107" i="1"/>
  <c r="H105" i="1"/>
  <c r="J105" i="1" s="1"/>
  <c r="M107" i="1"/>
  <c r="C108" i="1"/>
  <c r="I107" i="1"/>
  <c r="K105" i="1" l="1"/>
  <c r="L105" i="1" s="1"/>
  <c r="N105" i="1" s="1"/>
  <c r="G107" i="1"/>
  <c r="H107" i="1" s="1"/>
  <c r="J107" i="1" s="1"/>
  <c r="F107" i="1"/>
  <c r="E108" i="1"/>
  <c r="D108" i="1"/>
  <c r="D72" i="1"/>
  <c r="C73" i="1"/>
  <c r="D73" i="1" s="1"/>
  <c r="D74" i="1" s="1"/>
  <c r="M108" i="1"/>
  <c r="C109" i="1"/>
  <c r="I108" i="1"/>
  <c r="K106" i="1"/>
  <c r="L106" i="1" s="1"/>
  <c r="N106" i="1" l="1"/>
  <c r="M109" i="1"/>
  <c r="C110" i="1"/>
  <c r="I109" i="1"/>
  <c r="K107" i="1"/>
  <c r="L107" i="1" s="1"/>
  <c r="G108" i="1"/>
  <c r="H108" i="1" s="1"/>
  <c r="J108" i="1" s="1"/>
  <c r="F108" i="1"/>
  <c r="E109" i="1"/>
  <c r="D109" i="1"/>
  <c r="G109" i="1" l="1"/>
  <c r="F109" i="1"/>
  <c r="E110" i="1"/>
  <c r="D110" i="1"/>
  <c r="K108" i="1"/>
  <c r="L108" i="1" s="1"/>
  <c r="I110" i="1"/>
  <c r="M110" i="1"/>
  <c r="N107" i="1"/>
  <c r="N108" i="1" l="1"/>
  <c r="G110" i="1"/>
  <c r="H110" i="1" s="1"/>
  <c r="J110" i="1" s="1"/>
  <c r="F110" i="1"/>
  <c r="H109" i="1"/>
  <c r="J109" i="1" s="1"/>
  <c r="K110" i="1" l="1"/>
  <c r="L110" i="1"/>
  <c r="K109" i="1"/>
  <c r="L109" i="1" s="1"/>
  <c r="N109" i="1" s="1"/>
  <c r="N110" i="1" s="1"/>
</calcChain>
</file>

<file path=xl/sharedStrings.xml><?xml version="1.0" encoding="utf-8"?>
<sst xmlns="http://schemas.openxmlformats.org/spreadsheetml/2006/main" count="108" uniqueCount="94">
  <si>
    <t>LT Category - 2: Domestic Service</t>
  </si>
  <si>
    <t xml:space="preserve">Applicability: </t>
  </si>
  <si>
    <t>The LT Domestic Category is for residential consumers with low-tension (LT) connections. The tariff structure is typically slab-based, with different rates for different consumption levels.</t>
  </si>
  <si>
    <t>LT Category - 2: Domestic Service Tariff Structure</t>
  </si>
  <si>
    <t>The tariff structure for LT Domestic Category is as follows:</t>
  </si>
  <si>
    <t>Energy Charges</t>
  </si>
  <si>
    <t>Slab Number</t>
  </si>
  <si>
    <t>Unit From</t>
  </si>
  <si>
    <t>Unit To</t>
  </si>
  <si>
    <t>Charges per Unit</t>
  </si>
  <si>
    <t>per kwh</t>
  </si>
  <si>
    <t>Max</t>
  </si>
  <si>
    <t>Fixed Charges</t>
  </si>
  <si>
    <t>per kW of contracted load per month.</t>
  </si>
  <si>
    <t>Steps to Calculate Daily Charges for One Month</t>
  </si>
  <si>
    <t>STEP 1:</t>
  </si>
  <si>
    <t>Load: LT Category - 2: Domestic Service</t>
  </si>
  <si>
    <t>120-250</t>
  </si>
  <si>
    <t>Kwh</t>
  </si>
  <si>
    <t>Contracted Load</t>
  </si>
  <si>
    <t>kW</t>
  </si>
  <si>
    <t>Installation Date</t>
  </si>
  <si>
    <t>Date</t>
  </si>
  <si>
    <t>Current Month days</t>
  </si>
  <si>
    <t>Days</t>
  </si>
  <si>
    <t>Last Date of Month</t>
  </si>
  <si>
    <t>Bill Days</t>
  </si>
  <si>
    <t>Including Installation Day</t>
  </si>
  <si>
    <t>Bill factor</t>
  </si>
  <si>
    <t>Opening Balance</t>
  </si>
  <si>
    <t>STEP2:</t>
  </si>
  <si>
    <t>Adjust Slab Sizes</t>
  </si>
  <si>
    <t>Adjusted Slab Sizes using the Bill Factor</t>
  </si>
  <si>
    <t>Usage Profile</t>
  </si>
  <si>
    <t>Monthly kWh</t>
  </si>
  <si>
    <t>Remarks</t>
  </si>
  <si>
    <t>Low usage</t>
  </si>
  <si>
    <t>60 – 120 kWh</t>
  </si>
  <si>
    <t>Lights, fans, limited appliance use</t>
  </si>
  <si>
    <t>Moderate usage</t>
  </si>
  <si>
    <t>120 – 250 kWh</t>
  </si>
  <si>
    <t>Typical household, some daytime use</t>
  </si>
  <si>
    <t>Higher usage</t>
  </si>
  <si>
    <t>250 – 500 kWh</t>
  </si>
  <si>
    <t>Geysers, pumps, occasional AC</t>
  </si>
  <si>
    <t>Heavy (still LT)</t>
  </si>
  <si>
    <t>500 – 1,000 kWh</t>
  </si>
  <si>
    <t>Multiple ACs, high comfort living</t>
  </si>
  <si>
    <t>STEP3:</t>
  </si>
  <si>
    <t>Calculate Fixed Charges</t>
  </si>
  <si>
    <t>Existing Fixed Charges</t>
  </si>
  <si>
    <t>Adjusted Fixed Charges for month</t>
  </si>
  <si>
    <t>// Existing Fixed Charges * Bill Factor//</t>
  </si>
  <si>
    <t>Type of Household</t>
  </si>
  <si>
    <t>Typical Range (kW)</t>
  </si>
  <si>
    <t>Modelling Sweet Spot</t>
  </si>
  <si>
    <t>Daily Fixed Charges</t>
  </si>
  <si>
    <t>// Adjustment Fixed Charges /Bill Days//</t>
  </si>
  <si>
    <t>Small house / apartment (lights, fans only)</t>
  </si>
  <si>
    <t>0.5 – 1.5 kW</t>
  </si>
  <si>
    <t>1 kW</t>
  </si>
  <si>
    <t>Average household (TV, fridge, mixer, fans)</t>
  </si>
  <si>
    <t>1.5 – 3 kW</t>
  </si>
  <si>
    <t>2 kW</t>
  </si>
  <si>
    <t>Upper-middle household (washing machine, geyser)</t>
  </si>
  <si>
    <t>3 – 5 kW</t>
  </si>
  <si>
    <t>4 kW</t>
  </si>
  <si>
    <t>STEP4:</t>
  </si>
  <si>
    <t xml:space="preserve">Sample Daily Consumption Data </t>
  </si>
  <si>
    <t>High-end residence (ACs, pumps, multiple appliances)</t>
  </si>
  <si>
    <t>5 – 10 kW</t>
  </si>
  <si>
    <t>6 kW</t>
  </si>
  <si>
    <t>Large residence / bungalow (near LT upper range)</t>
  </si>
  <si>
    <t>8 – 15 kW</t>
  </si>
  <si>
    <t>10 kW</t>
  </si>
  <si>
    <t>Daily Consumption (kWh)</t>
  </si>
  <si>
    <t>Sample Data from HES</t>
  </si>
  <si>
    <t>Example Calculation</t>
  </si>
  <si>
    <t>Previous Reading</t>
  </si>
  <si>
    <t>Current Reading (Kwh)</t>
  </si>
  <si>
    <t>Unit Consumed(kwh)</t>
  </si>
  <si>
    <t>Slab</t>
  </si>
  <si>
    <t>Electricity Charges</t>
  </si>
  <si>
    <t>Gross Bill</t>
  </si>
  <si>
    <t xml:space="preserve">Surcharge
</t>
  </si>
  <si>
    <t>Gross Deduction</t>
  </si>
  <si>
    <t xml:space="preserve">Recharge </t>
  </si>
  <si>
    <t>Closing Balance</t>
  </si>
  <si>
    <t>=if (Unit Consumed&lt;=Adjusted SlabSize value using Bill Factor , "1" ,"2","3")</t>
  </si>
  <si>
    <t>if(Slab="1",Unit Consumerd*Slab 1 Charges ,if (Slab="2", Unit Consumed*Slab2 Charges, if (Slab="3", Unit Consumed*Slab3 Charges,0))</t>
  </si>
  <si>
    <t>Fixed Charges Based on Billfactor and Start Date</t>
  </si>
  <si>
    <t>=Fixed Charges +Electricity Charges</t>
  </si>
  <si>
    <t>=Gross Bill*Surcharge %</t>
  </si>
  <si>
    <t>=Gross Bill + 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</si>
</sst>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[$₹-4009]\ #,##0.00;[$₹-4009]\ \-#,##0.00"/>
    <numFmt numFmtId="165" formatCode="0.0000"/>
    <numFmt numFmtId="166" formatCode="[$₹-4009]\ #,##0;[$₹-4009]\ \-#,##0"/>
    <numFmt numFmtId="167" formatCode="0.000"/>
    <numFmt numFmtId="168" formatCode="_ * #,##0.0000_ ;_ * \-#,##0.00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right"/>
    </xf>
    <xf numFmtId="0" fontId="0" fillId="2" borderId="0" xfId="0" applyFill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horizontal="left"/>
    </xf>
    <xf numFmtId="0" fontId="2" fillId="0" borderId="0" xfId="0" applyFont="1"/>
    <xf numFmtId="0" fontId="0" fillId="0" borderId="0" xfId="0" applyAlignment="1">
      <alignment horizontal="right"/>
    </xf>
    <xf numFmtId="0" fontId="2" fillId="3" borderId="0" xfId="0" applyFont="1" applyFill="1" applyAlignment="1">
      <alignment horizontal="right"/>
    </xf>
    <xf numFmtId="14" fontId="2" fillId="3" borderId="0" xfId="0" applyNumberFormat="1" applyFont="1" applyFill="1"/>
    <xf numFmtId="14" fontId="0" fillId="0" borderId="0" xfId="0" applyNumberFormat="1" applyAlignment="1">
      <alignment horizontal="right"/>
    </xf>
    <xf numFmtId="165" fontId="0" fillId="0" borderId="0" xfId="0" applyNumberFormat="1"/>
    <xf numFmtId="166" fontId="2" fillId="3" borderId="0" xfId="0" applyNumberFormat="1" applyFont="1" applyFill="1"/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167" fontId="0" fillId="0" borderId="0" xfId="0" applyNumberFormat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4" fontId="0" fillId="4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vertical="center" wrapText="1"/>
    </xf>
    <xf numFmtId="9" fontId="0" fillId="5" borderId="0" xfId="0" applyNumberFormat="1" applyFill="1" applyAlignment="1">
      <alignment horizontal="center"/>
    </xf>
    <xf numFmtId="166" fontId="0" fillId="0" borderId="0" xfId="0" applyNumberFormat="1"/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8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CB91-0673-4F53-B956-6A1F44DB2D5B}">
  <sheetPr>
    <tabColor rgb="FF00B050"/>
  </sheetPr>
  <dimension ref="B1:Q128"/>
  <sheetViews>
    <sheetView showGridLines="0" tabSelected="1" workbookViewId="0">
      <selection activeCell="E16" sqref="E16"/>
    </sheetView>
  </sheetViews>
  <sheetFormatPr defaultRowHeight="14.4" x14ac:dyDescent="0.3"/>
  <cols>
    <col min="2" max="2" width="28" customWidth="1"/>
    <col min="3" max="3" width="36" customWidth="1"/>
    <col min="4" max="4" width="22.109375" customWidth="1"/>
    <col min="5" max="5" width="19.33203125" customWidth="1"/>
    <col min="6" max="6" width="12.5546875" customWidth="1"/>
    <col min="7" max="7" width="27.5546875" customWidth="1"/>
    <col min="8" max="8" width="21" customWidth="1"/>
    <col min="9" max="9" width="17.88671875" customWidth="1"/>
    <col min="10" max="10" width="12.109375" customWidth="1"/>
    <col min="11" max="11" width="11.33203125" customWidth="1"/>
    <col min="12" max="13" width="14.6640625" customWidth="1"/>
    <col min="14" max="14" width="10.44140625" bestFit="1" customWidth="1"/>
    <col min="15" max="15" width="52.5546875" customWidth="1"/>
    <col min="16" max="16" width="22.33203125" customWidth="1"/>
    <col min="17" max="17" width="33.5546875" customWidth="1"/>
  </cols>
  <sheetData>
    <row r="1" spans="2:7" x14ac:dyDescent="0.3">
      <c r="B1" s="1" t="s">
        <v>0</v>
      </c>
      <c r="C1" s="1"/>
    </row>
    <row r="2" spans="2:7" x14ac:dyDescent="0.3">
      <c r="B2" s="2" t="s">
        <v>1</v>
      </c>
      <c r="C2" t="s">
        <v>2</v>
      </c>
    </row>
    <row r="3" spans="2:7" x14ac:dyDescent="0.3">
      <c r="B3" s="2"/>
    </row>
    <row r="5" spans="2:7" x14ac:dyDescent="0.3">
      <c r="B5" s="1" t="s">
        <v>3</v>
      </c>
      <c r="C5" s="1"/>
    </row>
    <row r="6" spans="2:7" x14ac:dyDescent="0.3">
      <c r="C6" s="3" t="s">
        <v>4</v>
      </c>
      <c r="D6" s="3"/>
    </row>
    <row r="7" spans="2:7" x14ac:dyDescent="0.3">
      <c r="C7" s="4" t="s">
        <v>5</v>
      </c>
      <c r="D7" s="5"/>
      <c r="E7" s="5"/>
      <c r="F7" s="5"/>
      <c r="G7" s="5"/>
    </row>
    <row r="8" spans="2:7" x14ac:dyDescent="0.3">
      <c r="C8" s="6" t="s">
        <v>6</v>
      </c>
      <c r="D8" s="7" t="s">
        <v>7</v>
      </c>
      <c r="E8" s="7" t="s">
        <v>8</v>
      </c>
      <c r="F8" s="4" t="s">
        <v>9</v>
      </c>
      <c r="G8" s="5"/>
    </row>
    <row r="9" spans="2:7" x14ac:dyDescent="0.3">
      <c r="C9" s="6">
        <v>1</v>
      </c>
      <c r="D9" s="6">
        <v>0</v>
      </c>
      <c r="E9" s="6">
        <v>100</v>
      </c>
      <c r="F9" s="8">
        <v>4.9000000000000004</v>
      </c>
      <c r="G9" s="5" t="s">
        <v>10</v>
      </c>
    </row>
    <row r="10" spans="2:7" x14ac:dyDescent="0.3">
      <c r="C10" s="6">
        <v>2</v>
      </c>
      <c r="D10" s="6">
        <v>100.01</v>
      </c>
      <c r="E10" s="6">
        <v>200</v>
      </c>
      <c r="F10" s="8">
        <v>7.1</v>
      </c>
      <c r="G10" s="5" t="s">
        <v>10</v>
      </c>
    </row>
    <row r="11" spans="2:7" x14ac:dyDescent="0.3">
      <c r="C11" s="6">
        <v>3</v>
      </c>
      <c r="D11" s="6">
        <v>200.01</v>
      </c>
      <c r="E11" s="6" t="s">
        <v>11</v>
      </c>
      <c r="F11" s="8">
        <v>8.1999999999999993</v>
      </c>
      <c r="G11" s="5" t="s">
        <v>10</v>
      </c>
    </row>
    <row r="13" spans="2:7" x14ac:dyDescent="0.3">
      <c r="C13" s="9" t="s">
        <v>12</v>
      </c>
      <c r="D13" s="6"/>
      <c r="E13" s="6"/>
      <c r="F13" s="8">
        <v>50</v>
      </c>
      <c r="G13" s="5" t="s">
        <v>13</v>
      </c>
    </row>
    <row r="15" spans="2:7" x14ac:dyDescent="0.3">
      <c r="B15" s="1" t="s">
        <v>14</v>
      </c>
      <c r="C15" s="1"/>
      <c r="D15" s="3"/>
    </row>
    <row r="16" spans="2:7" x14ac:dyDescent="0.3">
      <c r="B16" s="10" t="s">
        <v>15</v>
      </c>
      <c r="C16" s="1" t="s">
        <v>0</v>
      </c>
      <c r="D16" s="3"/>
    </row>
    <row r="17" spans="2:17" x14ac:dyDescent="0.3">
      <c r="C17" t="s">
        <v>16</v>
      </c>
      <c r="D17" s="11" t="s">
        <v>17</v>
      </c>
      <c r="E17" t="s">
        <v>18</v>
      </c>
    </row>
    <row r="18" spans="2:17" x14ac:dyDescent="0.3">
      <c r="C18" t="s">
        <v>19</v>
      </c>
      <c r="D18" s="12">
        <v>4</v>
      </c>
      <c r="E18" t="s">
        <v>20</v>
      </c>
    </row>
    <row r="19" spans="2:17" x14ac:dyDescent="0.3">
      <c r="C19" t="s">
        <v>21</v>
      </c>
      <c r="D19" s="13">
        <v>46005</v>
      </c>
      <c r="E19" t="s">
        <v>22</v>
      </c>
    </row>
    <row r="20" spans="2:17" x14ac:dyDescent="0.3">
      <c r="C20" t="s">
        <v>23</v>
      </c>
      <c r="D20" s="11">
        <f>DAY(EOMONTH(D19,0))</f>
        <v>31</v>
      </c>
      <c r="E20" t="s">
        <v>24</v>
      </c>
    </row>
    <row r="21" spans="2:17" x14ac:dyDescent="0.3">
      <c r="C21" t="s">
        <v>25</v>
      </c>
      <c r="D21" s="14">
        <f>EOMONTH(D19,0)</f>
        <v>46022</v>
      </c>
    </row>
    <row r="22" spans="2:17" x14ac:dyDescent="0.3">
      <c r="C22" t="s">
        <v>26</v>
      </c>
      <c r="D22">
        <f>D21-D19+1</f>
        <v>18</v>
      </c>
      <c r="E22" t="s">
        <v>27</v>
      </c>
    </row>
    <row r="23" spans="2:17" x14ac:dyDescent="0.3">
      <c r="C23" t="s">
        <v>28</v>
      </c>
      <c r="D23" s="15">
        <f>ROUNDUP(D22/D20,4)</f>
        <v>0.58069999999999999</v>
      </c>
    </row>
    <row r="24" spans="2:17" x14ac:dyDescent="0.3">
      <c r="C24" t="s">
        <v>29</v>
      </c>
      <c r="D24" s="16">
        <v>600</v>
      </c>
    </row>
    <row r="27" spans="2:17" x14ac:dyDescent="0.3">
      <c r="B27" s="10" t="s">
        <v>30</v>
      </c>
      <c r="C27" s="1" t="s">
        <v>31</v>
      </c>
    </row>
    <row r="28" spans="2:17" x14ac:dyDescent="0.3">
      <c r="C28" s="1" t="s">
        <v>32</v>
      </c>
      <c r="D28" s="3"/>
    </row>
    <row r="29" spans="2:17" x14ac:dyDescent="0.3">
      <c r="C29" s="5" t="s">
        <v>6</v>
      </c>
      <c r="D29" s="5" t="s">
        <v>7</v>
      </c>
      <c r="E29" s="5" t="s">
        <v>8</v>
      </c>
      <c r="F29" s="5" t="s">
        <v>9</v>
      </c>
      <c r="G29" s="5"/>
      <c r="O29" s="17" t="s">
        <v>33</v>
      </c>
      <c r="P29" s="17" t="s">
        <v>34</v>
      </c>
      <c r="Q29" s="17" t="s">
        <v>35</v>
      </c>
    </row>
    <row r="30" spans="2:17" x14ac:dyDescent="0.3">
      <c r="C30" s="6">
        <v>1</v>
      </c>
      <c r="D30" s="6">
        <v>0</v>
      </c>
      <c r="E30" s="6">
        <f>ROUNDDOWN(E9*$D$23,2)</f>
        <v>58.07</v>
      </c>
      <c r="F30" s="8">
        <f>F9</f>
        <v>4.9000000000000004</v>
      </c>
      <c r="G30" s="5" t="s">
        <v>10</v>
      </c>
      <c r="O30" s="18" t="s">
        <v>36</v>
      </c>
      <c r="P30" s="19" t="s">
        <v>37</v>
      </c>
      <c r="Q30" s="18" t="s">
        <v>38</v>
      </c>
    </row>
    <row r="31" spans="2:17" x14ac:dyDescent="0.3">
      <c r="C31" s="6">
        <v>2</v>
      </c>
      <c r="D31" s="6">
        <f>E30+0.01</f>
        <v>58.08</v>
      </c>
      <c r="E31" s="6">
        <f>ROUNDDOWN(E10*$D$23,2)</f>
        <v>116.14</v>
      </c>
      <c r="F31" s="8">
        <f t="shared" ref="F31:F32" si="0">F10</f>
        <v>7.1</v>
      </c>
      <c r="G31" s="5" t="s">
        <v>10</v>
      </c>
      <c r="O31" s="18" t="s">
        <v>39</v>
      </c>
      <c r="P31" s="19" t="s">
        <v>40</v>
      </c>
      <c r="Q31" s="18" t="s">
        <v>41</v>
      </c>
    </row>
    <row r="32" spans="2:17" x14ac:dyDescent="0.3">
      <c r="C32" s="6">
        <v>3</v>
      </c>
      <c r="D32" s="6">
        <f>E31+0.01</f>
        <v>116.15</v>
      </c>
      <c r="E32" s="6" t="s">
        <v>11</v>
      </c>
      <c r="F32" s="8">
        <f t="shared" si="0"/>
        <v>8.1999999999999993</v>
      </c>
      <c r="G32" s="5" t="s">
        <v>10</v>
      </c>
      <c r="O32" s="18" t="s">
        <v>42</v>
      </c>
      <c r="P32" s="19" t="s">
        <v>43</v>
      </c>
      <c r="Q32" s="18" t="s">
        <v>44</v>
      </c>
    </row>
    <row r="33" spans="2:17" x14ac:dyDescent="0.3">
      <c r="O33" s="18" t="s">
        <v>45</v>
      </c>
      <c r="P33" s="19" t="s">
        <v>46</v>
      </c>
      <c r="Q33" s="18" t="s">
        <v>47</v>
      </c>
    </row>
    <row r="34" spans="2:17" x14ac:dyDescent="0.3">
      <c r="B34" s="10" t="s">
        <v>48</v>
      </c>
      <c r="C34" s="1" t="s">
        <v>49</v>
      </c>
      <c r="D34" s="3"/>
      <c r="P34" s="20"/>
    </row>
    <row r="35" spans="2:17" x14ac:dyDescent="0.3">
      <c r="D35" s="11" t="s">
        <v>50</v>
      </c>
      <c r="E35" s="21">
        <f>F13*D18</f>
        <v>200</v>
      </c>
      <c r="P35" s="20"/>
    </row>
    <row r="36" spans="2:17" x14ac:dyDescent="0.3">
      <c r="D36" s="11" t="s">
        <v>51</v>
      </c>
      <c r="E36" s="22">
        <f>ROUNDDOWN(E35*D23,3)</f>
        <v>116.14</v>
      </c>
      <c r="G36" t="s">
        <v>52</v>
      </c>
      <c r="O36" s="17" t="s">
        <v>53</v>
      </c>
      <c r="P36" s="17" t="s">
        <v>54</v>
      </c>
      <c r="Q36" s="17" t="s">
        <v>55</v>
      </c>
    </row>
    <row r="37" spans="2:17" x14ac:dyDescent="0.3">
      <c r="D37" s="11" t="s">
        <v>56</v>
      </c>
      <c r="E37">
        <f>ROUNDUP(E36/D22,4)</f>
        <v>6.4523000000000001</v>
      </c>
      <c r="G37" t="s">
        <v>57</v>
      </c>
      <c r="O37" s="18" t="s">
        <v>58</v>
      </c>
      <c r="P37" s="19" t="s">
        <v>59</v>
      </c>
      <c r="Q37" s="19" t="s">
        <v>60</v>
      </c>
    </row>
    <row r="38" spans="2:17" x14ac:dyDescent="0.3">
      <c r="O38" s="18" t="s">
        <v>61</v>
      </c>
      <c r="P38" s="19" t="s">
        <v>62</v>
      </c>
      <c r="Q38" s="19" t="s">
        <v>63</v>
      </c>
    </row>
    <row r="39" spans="2:17" x14ac:dyDescent="0.3">
      <c r="O39" s="18" t="s">
        <v>64</v>
      </c>
      <c r="P39" s="19" t="s">
        <v>65</v>
      </c>
      <c r="Q39" s="19" t="s">
        <v>66</v>
      </c>
    </row>
    <row r="40" spans="2:17" x14ac:dyDescent="0.3">
      <c r="B40" s="10" t="s">
        <v>67</v>
      </c>
      <c r="C40" s="1" t="s">
        <v>68</v>
      </c>
      <c r="D40" s="3"/>
      <c r="O40" s="18" t="s">
        <v>69</v>
      </c>
      <c r="P40" s="19" t="s">
        <v>70</v>
      </c>
      <c r="Q40" s="19" t="s">
        <v>71</v>
      </c>
    </row>
    <row r="41" spans="2:17" x14ac:dyDescent="0.3">
      <c r="O41" s="18" t="s">
        <v>72</v>
      </c>
      <c r="P41" s="19" t="s">
        <v>73</v>
      </c>
      <c r="Q41" s="19" t="s">
        <v>74</v>
      </c>
    </row>
    <row r="42" spans="2:17" ht="28.8" x14ac:dyDescent="0.3">
      <c r="C42" s="23" t="s">
        <v>22</v>
      </c>
      <c r="D42" s="24" t="s">
        <v>75</v>
      </c>
      <c r="E42" s="24" t="s">
        <v>76</v>
      </c>
      <c r="G42" s="25"/>
      <c r="H42" s="26"/>
    </row>
    <row r="43" spans="2:17" x14ac:dyDescent="0.3">
      <c r="C43" s="27">
        <f>EOMONTH(D19,-1)+1</f>
        <v>45992</v>
      </c>
      <c r="D43" s="28" t="str">
        <f>IF(C43&lt;$D$19,"0.00",INDEX($E$43:$E$73,MATCH(C43,$C$43:$C$73,0)))</f>
        <v>0.00</v>
      </c>
      <c r="E43" s="28">
        <v>5.5</v>
      </c>
      <c r="G43" s="29"/>
      <c r="H43" s="30"/>
    </row>
    <row r="44" spans="2:17" x14ac:dyDescent="0.3">
      <c r="C44" s="27">
        <f>C43+1</f>
        <v>45993</v>
      </c>
      <c r="D44" s="28" t="str">
        <f t="shared" ref="D44:D73" si="1">IF(C44&lt;$D$19,"0.00",INDEX($E$43:$E$73,MATCH(C44,$C$43:$C$73,0)))</f>
        <v>0.00</v>
      </c>
      <c r="E44" s="28">
        <v>5.5</v>
      </c>
      <c r="G44" s="29"/>
      <c r="H44" s="30"/>
    </row>
    <row r="45" spans="2:17" x14ac:dyDescent="0.3">
      <c r="C45" s="27">
        <f t="shared" ref="C45:C73" si="2">C44+1</f>
        <v>45994</v>
      </c>
      <c r="D45" s="28" t="str">
        <f t="shared" si="1"/>
        <v>0.00</v>
      </c>
      <c r="E45" s="28">
        <v>5.8</v>
      </c>
      <c r="G45" s="29"/>
      <c r="H45" s="30"/>
    </row>
    <row r="46" spans="2:17" x14ac:dyDescent="0.3">
      <c r="C46" s="27">
        <f t="shared" si="2"/>
        <v>45995</v>
      </c>
      <c r="D46" s="28" t="str">
        <f t="shared" si="1"/>
        <v>0.00</v>
      </c>
      <c r="E46" s="28">
        <v>5.6</v>
      </c>
      <c r="G46" s="29"/>
      <c r="H46" s="30"/>
    </row>
    <row r="47" spans="2:17" x14ac:dyDescent="0.3">
      <c r="C47" s="27">
        <f t="shared" si="2"/>
        <v>45996</v>
      </c>
      <c r="D47" s="28" t="str">
        <f t="shared" si="1"/>
        <v>0.00</v>
      </c>
      <c r="E47" s="28">
        <v>6</v>
      </c>
      <c r="G47" s="29"/>
      <c r="H47" s="30"/>
    </row>
    <row r="48" spans="2:17" x14ac:dyDescent="0.3">
      <c r="C48" s="27">
        <f t="shared" si="2"/>
        <v>45997</v>
      </c>
      <c r="D48" s="28" t="str">
        <f t="shared" si="1"/>
        <v>0.00</v>
      </c>
      <c r="E48" s="28">
        <v>5.7</v>
      </c>
      <c r="G48" s="29"/>
      <c r="H48" s="30"/>
    </row>
    <row r="49" spans="3:8" x14ac:dyDescent="0.3">
      <c r="C49" s="27">
        <f t="shared" si="2"/>
        <v>45998</v>
      </c>
      <c r="D49" s="28" t="str">
        <f t="shared" si="1"/>
        <v>0.00</v>
      </c>
      <c r="E49" s="28">
        <v>5.4</v>
      </c>
      <c r="G49" s="29"/>
      <c r="H49" s="30"/>
    </row>
    <row r="50" spans="3:8" x14ac:dyDescent="0.3">
      <c r="C50" s="27">
        <f t="shared" si="2"/>
        <v>45999</v>
      </c>
      <c r="D50" s="28" t="str">
        <f t="shared" si="1"/>
        <v>0.00</v>
      </c>
      <c r="E50" s="28">
        <v>5.6</v>
      </c>
      <c r="G50" s="29"/>
      <c r="H50" s="30"/>
    </row>
    <row r="51" spans="3:8" x14ac:dyDescent="0.3">
      <c r="C51" s="27">
        <f t="shared" si="2"/>
        <v>46000</v>
      </c>
      <c r="D51" s="28" t="str">
        <f t="shared" si="1"/>
        <v>0.00</v>
      </c>
      <c r="E51" s="28">
        <v>5.8</v>
      </c>
      <c r="G51" s="29"/>
      <c r="H51" s="30"/>
    </row>
    <row r="52" spans="3:8" x14ac:dyDescent="0.3">
      <c r="C52" s="27">
        <f t="shared" si="2"/>
        <v>46001</v>
      </c>
      <c r="D52" s="28" t="str">
        <f t="shared" si="1"/>
        <v>0.00</v>
      </c>
      <c r="E52" s="28">
        <v>5.7</v>
      </c>
      <c r="G52" s="29"/>
      <c r="H52" s="30"/>
    </row>
    <row r="53" spans="3:8" x14ac:dyDescent="0.3">
      <c r="C53" s="27">
        <f t="shared" si="2"/>
        <v>46002</v>
      </c>
      <c r="D53" s="28" t="str">
        <f t="shared" si="1"/>
        <v>0.00</v>
      </c>
      <c r="E53" s="28">
        <v>6.2</v>
      </c>
      <c r="G53" s="29"/>
      <c r="H53" s="30"/>
    </row>
    <row r="54" spans="3:8" x14ac:dyDescent="0.3">
      <c r="C54" s="27">
        <f t="shared" si="2"/>
        <v>46003</v>
      </c>
      <c r="D54" s="28" t="str">
        <f t="shared" si="1"/>
        <v>0.00</v>
      </c>
      <c r="E54" s="28">
        <v>5.5</v>
      </c>
      <c r="G54" s="29"/>
      <c r="H54" s="30"/>
    </row>
    <row r="55" spans="3:8" x14ac:dyDescent="0.3">
      <c r="C55" s="27">
        <f t="shared" si="2"/>
        <v>46004</v>
      </c>
      <c r="D55" s="28" t="str">
        <f t="shared" si="1"/>
        <v>0.00</v>
      </c>
      <c r="E55" s="28">
        <v>5.8</v>
      </c>
      <c r="G55" s="29"/>
      <c r="H55" s="30"/>
    </row>
    <row r="56" spans="3:8" x14ac:dyDescent="0.3">
      <c r="C56" s="27">
        <f t="shared" si="2"/>
        <v>46005</v>
      </c>
      <c r="D56" s="28">
        <f t="shared" si="1"/>
        <v>5.6</v>
      </c>
      <c r="E56" s="28">
        <v>5.6</v>
      </c>
      <c r="G56" s="29"/>
      <c r="H56" s="30"/>
    </row>
    <row r="57" spans="3:8" x14ac:dyDescent="0.3">
      <c r="C57" s="27">
        <f t="shared" si="2"/>
        <v>46006</v>
      </c>
      <c r="D57" s="28">
        <f t="shared" si="1"/>
        <v>5.9</v>
      </c>
      <c r="E57" s="28">
        <v>5.9</v>
      </c>
      <c r="G57" s="29"/>
      <c r="H57" s="30"/>
    </row>
    <row r="58" spans="3:8" x14ac:dyDescent="0.3">
      <c r="C58" s="27">
        <f t="shared" si="2"/>
        <v>46007</v>
      </c>
      <c r="D58" s="28">
        <f t="shared" si="1"/>
        <v>6.3</v>
      </c>
      <c r="E58" s="28">
        <v>6.3</v>
      </c>
      <c r="G58" s="29"/>
      <c r="H58" s="30"/>
    </row>
    <row r="59" spans="3:8" x14ac:dyDescent="0.3">
      <c r="C59" s="27">
        <f t="shared" si="2"/>
        <v>46008</v>
      </c>
      <c r="D59" s="28">
        <f t="shared" si="1"/>
        <v>5.5</v>
      </c>
      <c r="E59" s="28">
        <v>5.5</v>
      </c>
      <c r="G59" s="29"/>
      <c r="H59" s="30"/>
    </row>
    <row r="60" spans="3:8" x14ac:dyDescent="0.3">
      <c r="C60" s="27">
        <f t="shared" si="2"/>
        <v>46009</v>
      </c>
      <c r="D60" s="28">
        <f t="shared" si="1"/>
        <v>5.8</v>
      </c>
      <c r="E60" s="28">
        <v>5.8</v>
      </c>
      <c r="G60" s="29"/>
      <c r="H60" s="30"/>
    </row>
    <row r="61" spans="3:8" x14ac:dyDescent="0.3">
      <c r="C61" s="27">
        <f t="shared" si="2"/>
        <v>46010</v>
      </c>
      <c r="D61" s="28">
        <f t="shared" si="1"/>
        <v>5.6</v>
      </c>
      <c r="E61" s="28">
        <v>5.6</v>
      </c>
      <c r="G61" s="29"/>
      <c r="H61" s="30"/>
    </row>
    <row r="62" spans="3:8" x14ac:dyDescent="0.3">
      <c r="C62" s="27">
        <f t="shared" si="2"/>
        <v>46011</v>
      </c>
      <c r="D62" s="28">
        <f t="shared" si="1"/>
        <v>6</v>
      </c>
      <c r="E62" s="28">
        <v>6</v>
      </c>
      <c r="G62" s="29"/>
      <c r="H62" s="30"/>
    </row>
    <row r="63" spans="3:8" x14ac:dyDescent="0.3">
      <c r="C63" s="27">
        <f t="shared" si="2"/>
        <v>46012</v>
      </c>
      <c r="D63" s="28">
        <f t="shared" si="1"/>
        <v>6.4</v>
      </c>
      <c r="E63" s="28">
        <v>6.4</v>
      </c>
      <c r="G63" s="29"/>
      <c r="H63" s="30"/>
    </row>
    <row r="64" spans="3:8" x14ac:dyDescent="0.3">
      <c r="C64" s="27">
        <f t="shared" si="2"/>
        <v>46013</v>
      </c>
      <c r="D64" s="28">
        <f t="shared" si="1"/>
        <v>5.7</v>
      </c>
      <c r="E64" s="28">
        <v>5.7</v>
      </c>
      <c r="G64" s="29"/>
      <c r="H64" s="30"/>
    </row>
    <row r="65" spans="2:14" x14ac:dyDescent="0.3">
      <c r="C65" s="27">
        <f t="shared" si="2"/>
        <v>46014</v>
      </c>
      <c r="D65" s="28">
        <f t="shared" si="1"/>
        <v>5.9</v>
      </c>
      <c r="E65" s="28">
        <v>5.9</v>
      </c>
      <c r="G65" s="29"/>
      <c r="H65" s="30"/>
    </row>
    <row r="66" spans="2:14" x14ac:dyDescent="0.3">
      <c r="C66" s="27">
        <f t="shared" si="2"/>
        <v>46015</v>
      </c>
      <c r="D66" s="28">
        <f t="shared" si="1"/>
        <v>6.2</v>
      </c>
      <c r="E66" s="28">
        <v>6.2</v>
      </c>
      <c r="G66" s="29"/>
      <c r="H66" s="30"/>
    </row>
    <row r="67" spans="2:14" x14ac:dyDescent="0.3">
      <c r="C67" s="27">
        <f t="shared" si="2"/>
        <v>46016</v>
      </c>
      <c r="D67" s="28">
        <f t="shared" si="1"/>
        <v>6.5</v>
      </c>
      <c r="E67" s="28">
        <v>6.5</v>
      </c>
      <c r="G67" s="29"/>
      <c r="H67" s="30"/>
    </row>
    <row r="68" spans="2:14" x14ac:dyDescent="0.3">
      <c r="C68" s="27">
        <f t="shared" si="2"/>
        <v>46017</v>
      </c>
      <c r="D68" s="28">
        <f t="shared" si="1"/>
        <v>5.8</v>
      </c>
      <c r="E68" s="28">
        <v>5.8</v>
      </c>
      <c r="G68" s="29"/>
      <c r="H68" s="30"/>
    </row>
    <row r="69" spans="2:14" x14ac:dyDescent="0.3">
      <c r="C69" s="27">
        <f t="shared" si="2"/>
        <v>46018</v>
      </c>
      <c r="D69" s="28">
        <f t="shared" si="1"/>
        <v>5.6</v>
      </c>
      <c r="E69" s="28">
        <v>5.6</v>
      </c>
      <c r="G69" s="29"/>
      <c r="H69" s="30"/>
    </row>
    <row r="70" spans="2:14" x14ac:dyDescent="0.3">
      <c r="C70" s="27">
        <f t="shared" si="2"/>
        <v>46019</v>
      </c>
      <c r="D70" s="28">
        <f t="shared" si="1"/>
        <v>5.9</v>
      </c>
      <c r="E70" s="28">
        <v>5.9</v>
      </c>
      <c r="G70" s="29"/>
      <c r="H70" s="30"/>
    </row>
    <row r="71" spans="2:14" x14ac:dyDescent="0.3">
      <c r="C71" s="27">
        <f t="shared" si="2"/>
        <v>46020</v>
      </c>
      <c r="D71" s="28">
        <f t="shared" si="1"/>
        <v>5.7</v>
      </c>
      <c r="E71" s="28">
        <v>5.7</v>
      </c>
      <c r="G71" s="29"/>
      <c r="H71" s="30"/>
    </row>
    <row r="72" spans="2:14" x14ac:dyDescent="0.3">
      <c r="C72" s="27">
        <f t="shared" si="2"/>
        <v>46021</v>
      </c>
      <c r="D72" s="28">
        <f t="shared" si="1"/>
        <v>5.8</v>
      </c>
      <c r="E72" s="28">
        <v>5.8</v>
      </c>
      <c r="G72" s="29"/>
      <c r="H72" s="30"/>
    </row>
    <row r="73" spans="2:14" x14ac:dyDescent="0.3">
      <c r="C73" s="27">
        <f t="shared" si="2"/>
        <v>46022</v>
      </c>
      <c r="D73" s="28">
        <f t="shared" si="1"/>
        <v>6.3</v>
      </c>
      <c r="E73" s="28">
        <v>6.3</v>
      </c>
      <c r="G73" s="29"/>
      <c r="H73" s="30"/>
    </row>
    <row r="74" spans="2:14" x14ac:dyDescent="0.3">
      <c r="C74" s="31"/>
      <c r="D74" s="32">
        <f>SUM(D43:D73)</f>
        <v>106.5</v>
      </c>
      <c r="E74" s="32">
        <f>SUM(E43:E73)</f>
        <v>180.60000000000002</v>
      </c>
      <c r="G74" s="33"/>
      <c r="H74" s="26"/>
    </row>
    <row r="75" spans="2:14" x14ac:dyDescent="0.3">
      <c r="C75" s="31"/>
    </row>
    <row r="76" spans="2:14" x14ac:dyDescent="0.3">
      <c r="C76" s="31"/>
    </row>
    <row r="77" spans="2:14" x14ac:dyDescent="0.3">
      <c r="B77" s="1" t="s">
        <v>77</v>
      </c>
      <c r="C77" s="31"/>
      <c r="K77" s="34">
        <v>0.02</v>
      </c>
      <c r="N77" s="35"/>
    </row>
    <row r="78" spans="2:14" ht="43.2" x14ac:dyDescent="0.3">
      <c r="C78" s="36" t="s">
        <v>22</v>
      </c>
      <c r="D78" s="37" t="s">
        <v>78</v>
      </c>
      <c r="E78" s="37" t="s">
        <v>79</v>
      </c>
      <c r="F78" s="37" t="s">
        <v>80</v>
      </c>
      <c r="G78" s="37" t="s">
        <v>81</v>
      </c>
      <c r="H78" s="37" t="s">
        <v>82</v>
      </c>
      <c r="I78" s="37" t="s">
        <v>12</v>
      </c>
      <c r="J78" s="37" t="s">
        <v>83</v>
      </c>
      <c r="K78" s="37" t="s">
        <v>84</v>
      </c>
      <c r="L78" s="37" t="s">
        <v>85</v>
      </c>
      <c r="M78" s="37" t="s">
        <v>86</v>
      </c>
      <c r="N78" s="37" t="s">
        <v>87</v>
      </c>
    </row>
    <row r="79" spans="2:14" ht="100.8" x14ac:dyDescent="0.3">
      <c r="C79" s="38"/>
      <c r="D79" s="39"/>
      <c r="E79" s="39"/>
      <c r="F79" s="39"/>
      <c r="G79" s="40" t="s">
        <v>88</v>
      </c>
      <c r="H79" s="40" t="s">
        <v>89</v>
      </c>
      <c r="I79" s="40" t="s">
        <v>90</v>
      </c>
      <c r="J79" s="40" t="s">
        <v>91</v>
      </c>
      <c r="K79" s="40" t="s">
        <v>92</v>
      </c>
      <c r="L79" s="40" t="s">
        <v>93</v>
      </c>
      <c r="M79" s="41"/>
      <c r="N79" s="42">
        <f>D24</f>
        <v>600</v>
      </c>
    </row>
    <row r="80" spans="2:14" x14ac:dyDescent="0.3">
      <c r="C80" s="31">
        <f>C43</f>
        <v>45992</v>
      </c>
      <c r="D80" s="43">
        <v>0</v>
      </c>
      <c r="E80" s="43" t="str">
        <f>D43</f>
        <v>0.00</v>
      </c>
      <c r="F80" s="44">
        <f>E80-D80</f>
        <v>0</v>
      </c>
      <c r="G80" s="20">
        <f>IF(E80&lt;=$E$30,1,IF(AND(E80&gt;$E$30,E80&lt;=$E$31),2,3))</f>
        <v>3</v>
      </c>
      <c r="H80" s="45">
        <f>IF(G80=1,F80*$F$30,IF(G80=2,F80*$F$31,IF(G80=3,F80*$F$32,0)))</f>
        <v>0</v>
      </c>
      <c r="I80" s="46">
        <f>IF(C80&lt;$D$19,0,$E$37)</f>
        <v>0</v>
      </c>
      <c r="J80" s="47">
        <f t="shared" ref="J80:J110" si="3">ROUNDDOWN(H80+I80,4)</f>
        <v>0</v>
      </c>
      <c r="K80" s="47">
        <f t="shared" ref="K80:K110" si="4">ROUNDDOWN($K$77*J80,4)</f>
        <v>0</v>
      </c>
      <c r="L80" s="47">
        <f t="shared" ref="L80:L110" si="5">ROUNDDOWN(J80+K80,4)</f>
        <v>0</v>
      </c>
      <c r="M80" s="48">
        <f>IF(C80&lt;$D$19,0,IF(C80=$D$19,$D$24,0))</f>
        <v>0</v>
      </c>
      <c r="N80" s="49">
        <f>IF(C80&lt;$D$19,0,IF(C80=$D$19,M80-L80,N79-L80+M80))</f>
        <v>0</v>
      </c>
    </row>
    <row r="81" spans="3:14" x14ac:dyDescent="0.3">
      <c r="C81" s="31">
        <f>C80+1</f>
        <v>45993</v>
      </c>
      <c r="D81" s="44" t="str">
        <f>E80</f>
        <v>0.00</v>
      </c>
      <c r="E81" s="44">
        <f t="shared" ref="E81:E110" si="6">E80+D44</f>
        <v>0</v>
      </c>
      <c r="F81" s="44">
        <f>E81-D81</f>
        <v>0</v>
      </c>
      <c r="G81" s="20">
        <f t="shared" ref="G81:G110" si="7">IF(E81&lt;=$E$30,1,IF(AND(E81&gt;$E$30,E81&lt;=$E$31),2,3))</f>
        <v>1</v>
      </c>
      <c r="H81" s="45">
        <f t="shared" ref="H81:H110" si="8">IF(G81=1,F81*$F$30,IF(G81=2,F81*$F$31,IF(G81=3,F81*$F$32,0)))</f>
        <v>0</v>
      </c>
      <c r="I81" s="46">
        <f t="shared" ref="I81:I110" si="9">IF(C81&lt;$D$19,0,$E$37)</f>
        <v>0</v>
      </c>
      <c r="J81" s="47">
        <f t="shared" si="3"/>
        <v>0</v>
      </c>
      <c r="K81" s="47">
        <f t="shared" si="4"/>
        <v>0</v>
      </c>
      <c r="L81" s="47">
        <f t="shared" si="5"/>
        <v>0</v>
      </c>
      <c r="M81" s="48">
        <f>IF(C81&lt;$D$19,0,IF(C81=$D$19,$D$24,0))</f>
        <v>0</v>
      </c>
      <c r="N81" s="49">
        <f t="shared" ref="N81:N110" si="10">IF(C81&lt;$D$19,0,IF(C81=$D$19,M81-L81,N80-L81+M81))</f>
        <v>0</v>
      </c>
    </row>
    <row r="82" spans="3:14" x14ac:dyDescent="0.3">
      <c r="C82" s="31">
        <f t="shared" ref="C82:C110" si="11">C81+1</f>
        <v>45994</v>
      </c>
      <c r="D82" s="44">
        <f>E81</f>
        <v>0</v>
      </c>
      <c r="E82" s="44">
        <f t="shared" si="6"/>
        <v>0</v>
      </c>
      <c r="F82" s="44">
        <f>E82-D82</f>
        <v>0</v>
      </c>
      <c r="G82" s="20">
        <f t="shared" si="7"/>
        <v>1</v>
      </c>
      <c r="H82" s="45">
        <f t="shared" si="8"/>
        <v>0</v>
      </c>
      <c r="I82" s="46">
        <f t="shared" si="9"/>
        <v>0</v>
      </c>
      <c r="J82" s="47">
        <f t="shared" si="3"/>
        <v>0</v>
      </c>
      <c r="K82" s="47">
        <f t="shared" si="4"/>
        <v>0</v>
      </c>
      <c r="L82" s="47">
        <f t="shared" si="5"/>
        <v>0</v>
      </c>
      <c r="M82" s="48">
        <f>IF(C82&lt;$D$19,0,IF(C82=$D$19,$D$24,0))</f>
        <v>0</v>
      </c>
      <c r="N82" s="49">
        <f t="shared" si="10"/>
        <v>0</v>
      </c>
    </row>
    <row r="83" spans="3:14" x14ac:dyDescent="0.3">
      <c r="C83" s="31">
        <f t="shared" si="11"/>
        <v>45995</v>
      </c>
      <c r="D83" s="44">
        <f t="shared" ref="D83:D110" si="12">E82</f>
        <v>0</v>
      </c>
      <c r="E83" s="44">
        <f t="shared" si="6"/>
        <v>0</v>
      </c>
      <c r="F83" s="44">
        <f t="shared" ref="F83:F110" si="13">E83-D83</f>
        <v>0</v>
      </c>
      <c r="G83" s="20">
        <f t="shared" si="7"/>
        <v>1</v>
      </c>
      <c r="H83" s="45">
        <f t="shared" si="8"/>
        <v>0</v>
      </c>
      <c r="I83" s="46">
        <f t="shared" si="9"/>
        <v>0</v>
      </c>
      <c r="J83" s="47">
        <f t="shared" si="3"/>
        <v>0</v>
      </c>
      <c r="K83" s="47">
        <f t="shared" si="4"/>
        <v>0</v>
      </c>
      <c r="L83" s="47">
        <f t="shared" si="5"/>
        <v>0</v>
      </c>
      <c r="M83" s="48">
        <f t="shared" ref="M83:M110" si="14">IF(C83&lt;$D$19,0,IF(C83=$D$19,$D$24,0))</f>
        <v>0</v>
      </c>
      <c r="N83" s="49">
        <f t="shared" si="10"/>
        <v>0</v>
      </c>
    </row>
    <row r="84" spans="3:14" x14ac:dyDescent="0.3">
      <c r="C84" s="31">
        <f t="shared" si="11"/>
        <v>45996</v>
      </c>
      <c r="D84" s="44">
        <f t="shared" si="12"/>
        <v>0</v>
      </c>
      <c r="E84" s="44">
        <f t="shared" si="6"/>
        <v>0</v>
      </c>
      <c r="F84" s="44">
        <f t="shared" si="13"/>
        <v>0</v>
      </c>
      <c r="G84" s="20">
        <f t="shared" si="7"/>
        <v>1</v>
      </c>
      <c r="H84" s="45">
        <f t="shared" si="8"/>
        <v>0</v>
      </c>
      <c r="I84" s="46">
        <f t="shared" si="9"/>
        <v>0</v>
      </c>
      <c r="J84" s="47">
        <f t="shared" si="3"/>
        <v>0</v>
      </c>
      <c r="K84" s="47">
        <f t="shared" si="4"/>
        <v>0</v>
      </c>
      <c r="L84" s="47">
        <f t="shared" si="5"/>
        <v>0</v>
      </c>
      <c r="M84" s="48">
        <f t="shared" si="14"/>
        <v>0</v>
      </c>
      <c r="N84" s="49">
        <f t="shared" si="10"/>
        <v>0</v>
      </c>
    </row>
    <row r="85" spans="3:14" x14ac:dyDescent="0.3">
      <c r="C85" s="31">
        <f t="shared" si="11"/>
        <v>45997</v>
      </c>
      <c r="D85" s="44">
        <f t="shared" si="12"/>
        <v>0</v>
      </c>
      <c r="E85" s="44">
        <f t="shared" si="6"/>
        <v>0</v>
      </c>
      <c r="F85" s="44">
        <f t="shared" si="13"/>
        <v>0</v>
      </c>
      <c r="G85" s="20">
        <f t="shared" si="7"/>
        <v>1</v>
      </c>
      <c r="H85" s="45">
        <f t="shared" si="8"/>
        <v>0</v>
      </c>
      <c r="I85" s="46">
        <f t="shared" si="9"/>
        <v>0</v>
      </c>
      <c r="J85" s="47">
        <f t="shared" si="3"/>
        <v>0</v>
      </c>
      <c r="K85" s="47">
        <f t="shared" si="4"/>
        <v>0</v>
      </c>
      <c r="L85" s="47">
        <f t="shared" si="5"/>
        <v>0</v>
      </c>
      <c r="M85" s="48">
        <f t="shared" si="14"/>
        <v>0</v>
      </c>
      <c r="N85" s="49">
        <f t="shared" si="10"/>
        <v>0</v>
      </c>
    </row>
    <row r="86" spans="3:14" x14ac:dyDescent="0.3">
      <c r="C86" s="31">
        <f t="shared" si="11"/>
        <v>45998</v>
      </c>
      <c r="D86" s="44">
        <f t="shared" si="12"/>
        <v>0</v>
      </c>
      <c r="E86" s="44">
        <f t="shared" si="6"/>
        <v>0</v>
      </c>
      <c r="F86" s="44">
        <f t="shared" si="13"/>
        <v>0</v>
      </c>
      <c r="G86" s="20">
        <f t="shared" si="7"/>
        <v>1</v>
      </c>
      <c r="H86" s="45">
        <f t="shared" si="8"/>
        <v>0</v>
      </c>
      <c r="I86" s="46">
        <f t="shared" si="9"/>
        <v>0</v>
      </c>
      <c r="J86" s="47">
        <f t="shared" si="3"/>
        <v>0</v>
      </c>
      <c r="K86" s="47">
        <f t="shared" si="4"/>
        <v>0</v>
      </c>
      <c r="L86" s="47">
        <f t="shared" si="5"/>
        <v>0</v>
      </c>
      <c r="M86" s="48">
        <f t="shared" si="14"/>
        <v>0</v>
      </c>
      <c r="N86" s="49">
        <f t="shared" si="10"/>
        <v>0</v>
      </c>
    </row>
    <row r="87" spans="3:14" x14ac:dyDescent="0.3">
      <c r="C87" s="31">
        <f t="shared" si="11"/>
        <v>45999</v>
      </c>
      <c r="D87" s="44">
        <f t="shared" si="12"/>
        <v>0</v>
      </c>
      <c r="E87" s="44">
        <f t="shared" si="6"/>
        <v>0</v>
      </c>
      <c r="F87" s="44">
        <f t="shared" si="13"/>
        <v>0</v>
      </c>
      <c r="G87" s="20">
        <f t="shared" si="7"/>
        <v>1</v>
      </c>
      <c r="H87" s="45">
        <f t="shared" si="8"/>
        <v>0</v>
      </c>
      <c r="I87" s="46">
        <f t="shared" si="9"/>
        <v>0</v>
      </c>
      <c r="J87" s="47">
        <f t="shared" si="3"/>
        <v>0</v>
      </c>
      <c r="K87" s="47">
        <f t="shared" si="4"/>
        <v>0</v>
      </c>
      <c r="L87" s="47">
        <f t="shared" si="5"/>
        <v>0</v>
      </c>
      <c r="M87" s="48">
        <f t="shared" si="14"/>
        <v>0</v>
      </c>
      <c r="N87" s="49">
        <f t="shared" si="10"/>
        <v>0</v>
      </c>
    </row>
    <row r="88" spans="3:14" x14ac:dyDescent="0.3">
      <c r="C88" s="31">
        <f t="shared" si="11"/>
        <v>46000</v>
      </c>
      <c r="D88" s="44">
        <f t="shared" si="12"/>
        <v>0</v>
      </c>
      <c r="E88" s="44">
        <f t="shared" si="6"/>
        <v>0</v>
      </c>
      <c r="F88" s="44">
        <f t="shared" si="13"/>
        <v>0</v>
      </c>
      <c r="G88" s="20">
        <f t="shared" si="7"/>
        <v>1</v>
      </c>
      <c r="H88" s="45">
        <f t="shared" si="8"/>
        <v>0</v>
      </c>
      <c r="I88" s="46">
        <f t="shared" si="9"/>
        <v>0</v>
      </c>
      <c r="J88" s="47">
        <f t="shared" si="3"/>
        <v>0</v>
      </c>
      <c r="K88" s="47">
        <f t="shared" si="4"/>
        <v>0</v>
      </c>
      <c r="L88" s="47">
        <f t="shared" si="5"/>
        <v>0</v>
      </c>
      <c r="M88" s="48">
        <f t="shared" si="14"/>
        <v>0</v>
      </c>
      <c r="N88" s="49">
        <f t="shared" si="10"/>
        <v>0</v>
      </c>
    </row>
    <row r="89" spans="3:14" x14ac:dyDescent="0.3">
      <c r="C89" s="31">
        <f t="shared" si="11"/>
        <v>46001</v>
      </c>
      <c r="D89" s="44">
        <f t="shared" si="12"/>
        <v>0</v>
      </c>
      <c r="E89" s="44">
        <f t="shared" si="6"/>
        <v>0</v>
      </c>
      <c r="F89" s="44">
        <f t="shared" si="13"/>
        <v>0</v>
      </c>
      <c r="G89" s="20">
        <f t="shared" si="7"/>
        <v>1</v>
      </c>
      <c r="H89" s="45">
        <f t="shared" si="8"/>
        <v>0</v>
      </c>
      <c r="I89" s="46">
        <f t="shared" si="9"/>
        <v>0</v>
      </c>
      <c r="J89" s="47">
        <f t="shared" si="3"/>
        <v>0</v>
      </c>
      <c r="K89" s="47">
        <f t="shared" si="4"/>
        <v>0</v>
      </c>
      <c r="L89" s="47">
        <f t="shared" si="5"/>
        <v>0</v>
      </c>
      <c r="M89" s="48">
        <f t="shared" si="14"/>
        <v>0</v>
      </c>
      <c r="N89" s="49">
        <f t="shared" si="10"/>
        <v>0</v>
      </c>
    </row>
    <row r="90" spans="3:14" x14ac:dyDescent="0.3">
      <c r="C90" s="31">
        <f t="shared" si="11"/>
        <v>46002</v>
      </c>
      <c r="D90" s="44">
        <f t="shared" si="12"/>
        <v>0</v>
      </c>
      <c r="E90" s="44">
        <f t="shared" si="6"/>
        <v>0</v>
      </c>
      <c r="F90" s="44">
        <f t="shared" si="13"/>
        <v>0</v>
      </c>
      <c r="G90" s="20">
        <f t="shared" si="7"/>
        <v>1</v>
      </c>
      <c r="H90" s="45">
        <f t="shared" si="8"/>
        <v>0</v>
      </c>
      <c r="I90" s="46">
        <f t="shared" si="9"/>
        <v>0</v>
      </c>
      <c r="J90" s="47">
        <f t="shared" si="3"/>
        <v>0</v>
      </c>
      <c r="K90" s="47">
        <f t="shared" si="4"/>
        <v>0</v>
      </c>
      <c r="L90" s="47">
        <f t="shared" si="5"/>
        <v>0</v>
      </c>
      <c r="M90" s="48">
        <f t="shared" si="14"/>
        <v>0</v>
      </c>
      <c r="N90" s="49">
        <f t="shared" si="10"/>
        <v>0</v>
      </c>
    </row>
    <row r="91" spans="3:14" x14ac:dyDescent="0.3">
      <c r="C91" s="31">
        <f t="shared" si="11"/>
        <v>46003</v>
      </c>
      <c r="D91" s="44">
        <f t="shared" si="12"/>
        <v>0</v>
      </c>
      <c r="E91" s="44">
        <f t="shared" si="6"/>
        <v>0</v>
      </c>
      <c r="F91" s="44">
        <f t="shared" si="13"/>
        <v>0</v>
      </c>
      <c r="G91" s="20">
        <f t="shared" si="7"/>
        <v>1</v>
      </c>
      <c r="H91" s="45">
        <f t="shared" si="8"/>
        <v>0</v>
      </c>
      <c r="I91" s="46">
        <f t="shared" si="9"/>
        <v>0</v>
      </c>
      <c r="J91" s="47">
        <f t="shared" si="3"/>
        <v>0</v>
      </c>
      <c r="K91" s="47">
        <f t="shared" si="4"/>
        <v>0</v>
      </c>
      <c r="L91" s="47">
        <f t="shared" si="5"/>
        <v>0</v>
      </c>
      <c r="M91" s="48">
        <f t="shared" si="14"/>
        <v>0</v>
      </c>
      <c r="N91" s="49">
        <f t="shared" si="10"/>
        <v>0</v>
      </c>
    </row>
    <row r="92" spans="3:14" x14ac:dyDescent="0.3">
      <c r="C92" s="31">
        <f t="shared" si="11"/>
        <v>46004</v>
      </c>
      <c r="D92" s="44">
        <f t="shared" si="12"/>
        <v>0</v>
      </c>
      <c r="E92" s="44">
        <f t="shared" si="6"/>
        <v>0</v>
      </c>
      <c r="F92" s="44">
        <f t="shared" si="13"/>
        <v>0</v>
      </c>
      <c r="G92" s="20">
        <f t="shared" si="7"/>
        <v>1</v>
      </c>
      <c r="H92" s="45">
        <f t="shared" si="8"/>
        <v>0</v>
      </c>
      <c r="I92" s="46">
        <f t="shared" si="9"/>
        <v>0</v>
      </c>
      <c r="J92" s="47">
        <f t="shared" si="3"/>
        <v>0</v>
      </c>
      <c r="K92" s="47">
        <f t="shared" si="4"/>
        <v>0</v>
      </c>
      <c r="L92" s="47">
        <f t="shared" si="5"/>
        <v>0</v>
      </c>
      <c r="M92" s="48">
        <f t="shared" si="14"/>
        <v>0</v>
      </c>
      <c r="N92" s="49">
        <f t="shared" si="10"/>
        <v>0</v>
      </c>
    </row>
    <row r="93" spans="3:14" x14ac:dyDescent="0.3">
      <c r="C93" s="31">
        <f t="shared" si="11"/>
        <v>46005</v>
      </c>
      <c r="D93" s="44">
        <f t="shared" si="12"/>
        <v>0</v>
      </c>
      <c r="E93" s="44">
        <f t="shared" si="6"/>
        <v>5.6</v>
      </c>
      <c r="F93" s="44">
        <f t="shared" si="13"/>
        <v>5.6</v>
      </c>
      <c r="G93" s="20">
        <f t="shared" si="7"/>
        <v>1</v>
      </c>
      <c r="H93" s="45">
        <f t="shared" si="8"/>
        <v>27.44</v>
      </c>
      <c r="I93" s="46">
        <f t="shared" si="9"/>
        <v>6.4523000000000001</v>
      </c>
      <c r="J93" s="47">
        <f t="shared" si="3"/>
        <v>33.892299999999999</v>
      </c>
      <c r="K93" s="47">
        <f t="shared" si="4"/>
        <v>0.67779999999999996</v>
      </c>
      <c r="L93" s="47">
        <f t="shared" si="5"/>
        <v>34.570099999999996</v>
      </c>
      <c r="M93" s="48">
        <f t="shared" si="14"/>
        <v>600</v>
      </c>
      <c r="N93" s="49">
        <f t="shared" si="10"/>
        <v>565.42989999999998</v>
      </c>
    </row>
    <row r="94" spans="3:14" x14ac:dyDescent="0.3">
      <c r="C94" s="31">
        <f t="shared" si="11"/>
        <v>46006</v>
      </c>
      <c r="D94" s="44">
        <f t="shared" si="12"/>
        <v>5.6</v>
      </c>
      <c r="E94" s="44">
        <f t="shared" si="6"/>
        <v>11.5</v>
      </c>
      <c r="F94" s="44">
        <f t="shared" si="13"/>
        <v>5.9</v>
      </c>
      <c r="G94" s="20">
        <f t="shared" si="7"/>
        <v>1</v>
      </c>
      <c r="H94" s="45">
        <f t="shared" si="8"/>
        <v>28.910000000000004</v>
      </c>
      <c r="I94" s="46">
        <f t="shared" si="9"/>
        <v>6.4523000000000001</v>
      </c>
      <c r="J94" s="47">
        <f t="shared" si="3"/>
        <v>35.362299999999998</v>
      </c>
      <c r="K94" s="47">
        <f t="shared" si="4"/>
        <v>0.70720000000000005</v>
      </c>
      <c r="L94" s="47">
        <f t="shared" si="5"/>
        <v>36.069499999999998</v>
      </c>
      <c r="M94" s="48">
        <f t="shared" si="14"/>
        <v>0</v>
      </c>
      <c r="N94" s="49">
        <f t="shared" si="10"/>
        <v>529.36040000000003</v>
      </c>
    </row>
    <row r="95" spans="3:14" x14ac:dyDescent="0.3">
      <c r="C95" s="31">
        <f t="shared" si="11"/>
        <v>46007</v>
      </c>
      <c r="D95" s="44">
        <f t="shared" si="12"/>
        <v>11.5</v>
      </c>
      <c r="E95" s="44">
        <f t="shared" si="6"/>
        <v>17.8</v>
      </c>
      <c r="F95" s="44">
        <f t="shared" si="13"/>
        <v>6.3000000000000007</v>
      </c>
      <c r="G95" s="20">
        <f t="shared" si="7"/>
        <v>1</v>
      </c>
      <c r="H95" s="45">
        <f t="shared" si="8"/>
        <v>30.870000000000005</v>
      </c>
      <c r="I95" s="46">
        <f t="shared" si="9"/>
        <v>6.4523000000000001</v>
      </c>
      <c r="J95" s="47">
        <f t="shared" si="3"/>
        <v>37.322299999999998</v>
      </c>
      <c r="K95" s="47">
        <f t="shared" si="4"/>
        <v>0.74639999999999995</v>
      </c>
      <c r="L95" s="47">
        <f t="shared" si="5"/>
        <v>38.0687</v>
      </c>
      <c r="M95" s="48">
        <f t="shared" si="14"/>
        <v>0</v>
      </c>
      <c r="N95" s="49">
        <f t="shared" si="10"/>
        <v>491.29170000000005</v>
      </c>
    </row>
    <row r="96" spans="3:14" x14ac:dyDescent="0.3">
      <c r="C96" s="31">
        <f t="shared" si="11"/>
        <v>46008</v>
      </c>
      <c r="D96" s="44">
        <f t="shared" si="12"/>
        <v>17.8</v>
      </c>
      <c r="E96" s="44">
        <f t="shared" si="6"/>
        <v>23.3</v>
      </c>
      <c r="F96" s="44">
        <f t="shared" si="13"/>
        <v>5.5</v>
      </c>
      <c r="G96" s="20">
        <f t="shared" si="7"/>
        <v>1</v>
      </c>
      <c r="H96" s="45">
        <f t="shared" si="8"/>
        <v>26.950000000000003</v>
      </c>
      <c r="I96" s="46">
        <f t="shared" si="9"/>
        <v>6.4523000000000001</v>
      </c>
      <c r="J96" s="47">
        <f t="shared" si="3"/>
        <v>33.402299999999997</v>
      </c>
      <c r="K96" s="47">
        <f t="shared" si="4"/>
        <v>0.66800000000000004</v>
      </c>
      <c r="L96" s="47">
        <f t="shared" si="5"/>
        <v>34.070300000000003</v>
      </c>
      <c r="M96" s="48">
        <f t="shared" si="14"/>
        <v>0</v>
      </c>
      <c r="N96" s="49">
        <f t="shared" si="10"/>
        <v>457.22140000000002</v>
      </c>
    </row>
    <row r="97" spans="3:14" x14ac:dyDescent="0.3">
      <c r="C97" s="31">
        <f t="shared" si="11"/>
        <v>46009</v>
      </c>
      <c r="D97" s="44">
        <f t="shared" si="12"/>
        <v>23.3</v>
      </c>
      <c r="E97" s="44">
        <f t="shared" si="6"/>
        <v>29.1</v>
      </c>
      <c r="F97" s="44">
        <f t="shared" si="13"/>
        <v>5.8000000000000007</v>
      </c>
      <c r="G97" s="20">
        <f t="shared" si="7"/>
        <v>1</v>
      </c>
      <c r="H97" s="45">
        <f t="shared" si="8"/>
        <v>28.420000000000005</v>
      </c>
      <c r="I97" s="46">
        <f t="shared" si="9"/>
        <v>6.4523000000000001</v>
      </c>
      <c r="J97" s="47">
        <f t="shared" si="3"/>
        <v>34.872300000000003</v>
      </c>
      <c r="K97" s="47">
        <f t="shared" si="4"/>
        <v>0.69740000000000002</v>
      </c>
      <c r="L97" s="47">
        <f t="shared" si="5"/>
        <v>35.569699999999997</v>
      </c>
      <c r="M97" s="48">
        <f t="shared" si="14"/>
        <v>0</v>
      </c>
      <c r="N97" s="49">
        <f t="shared" si="10"/>
        <v>421.65170000000001</v>
      </c>
    </row>
    <row r="98" spans="3:14" x14ac:dyDescent="0.3">
      <c r="C98" s="31">
        <f t="shared" si="11"/>
        <v>46010</v>
      </c>
      <c r="D98" s="44">
        <f t="shared" si="12"/>
        <v>29.1</v>
      </c>
      <c r="E98" s="44">
        <f t="shared" si="6"/>
        <v>34.700000000000003</v>
      </c>
      <c r="F98" s="44">
        <f t="shared" si="13"/>
        <v>5.6000000000000014</v>
      </c>
      <c r="G98" s="20">
        <f t="shared" si="7"/>
        <v>1</v>
      </c>
      <c r="H98" s="45">
        <f t="shared" si="8"/>
        <v>27.440000000000008</v>
      </c>
      <c r="I98" s="46">
        <f t="shared" si="9"/>
        <v>6.4523000000000001</v>
      </c>
      <c r="J98" s="47">
        <f t="shared" si="3"/>
        <v>33.892299999999999</v>
      </c>
      <c r="K98" s="47">
        <f t="shared" si="4"/>
        <v>0.67779999999999996</v>
      </c>
      <c r="L98" s="47">
        <f t="shared" si="5"/>
        <v>34.570099999999996</v>
      </c>
      <c r="M98" s="48">
        <f t="shared" si="14"/>
        <v>0</v>
      </c>
      <c r="N98" s="49">
        <f t="shared" si="10"/>
        <v>387.08159999999998</v>
      </c>
    </row>
    <row r="99" spans="3:14" x14ac:dyDescent="0.3">
      <c r="C99" s="31">
        <f t="shared" si="11"/>
        <v>46011</v>
      </c>
      <c r="D99" s="44">
        <f t="shared" si="12"/>
        <v>34.700000000000003</v>
      </c>
      <c r="E99" s="44">
        <f t="shared" si="6"/>
        <v>40.700000000000003</v>
      </c>
      <c r="F99" s="44">
        <f t="shared" si="13"/>
        <v>6</v>
      </c>
      <c r="G99" s="20">
        <f t="shared" si="7"/>
        <v>1</v>
      </c>
      <c r="H99" s="45">
        <f t="shared" si="8"/>
        <v>29.400000000000002</v>
      </c>
      <c r="I99" s="46">
        <f t="shared" si="9"/>
        <v>6.4523000000000001</v>
      </c>
      <c r="J99" s="47">
        <f t="shared" si="3"/>
        <v>35.8523</v>
      </c>
      <c r="K99" s="47">
        <f t="shared" si="4"/>
        <v>0.71699999999999997</v>
      </c>
      <c r="L99" s="47">
        <f t="shared" si="5"/>
        <v>36.569299999999998</v>
      </c>
      <c r="M99" s="48">
        <f t="shared" si="14"/>
        <v>0</v>
      </c>
      <c r="N99" s="49">
        <f t="shared" si="10"/>
        <v>350.51229999999998</v>
      </c>
    </row>
    <row r="100" spans="3:14" x14ac:dyDescent="0.3">
      <c r="C100" s="31">
        <f t="shared" si="11"/>
        <v>46012</v>
      </c>
      <c r="D100" s="44">
        <f t="shared" si="12"/>
        <v>40.700000000000003</v>
      </c>
      <c r="E100" s="44">
        <f t="shared" si="6"/>
        <v>47.1</v>
      </c>
      <c r="F100" s="44">
        <f t="shared" si="13"/>
        <v>6.3999999999999986</v>
      </c>
      <c r="G100" s="20">
        <f t="shared" si="7"/>
        <v>1</v>
      </c>
      <c r="H100" s="45">
        <f t="shared" si="8"/>
        <v>31.359999999999996</v>
      </c>
      <c r="I100" s="46">
        <f t="shared" si="9"/>
        <v>6.4523000000000001</v>
      </c>
      <c r="J100" s="47">
        <f t="shared" si="3"/>
        <v>37.8123</v>
      </c>
      <c r="K100" s="47">
        <f t="shared" si="4"/>
        <v>0.75619999999999998</v>
      </c>
      <c r="L100" s="47">
        <f t="shared" si="5"/>
        <v>38.5685</v>
      </c>
      <c r="M100" s="48">
        <f t="shared" si="14"/>
        <v>0</v>
      </c>
      <c r="N100" s="49">
        <f t="shared" si="10"/>
        <v>311.94380000000001</v>
      </c>
    </row>
    <row r="101" spans="3:14" x14ac:dyDescent="0.3">
      <c r="C101" s="31">
        <f t="shared" si="11"/>
        <v>46013</v>
      </c>
      <c r="D101" s="44">
        <f t="shared" si="12"/>
        <v>47.1</v>
      </c>
      <c r="E101" s="44">
        <f t="shared" si="6"/>
        <v>52.800000000000004</v>
      </c>
      <c r="F101" s="44">
        <f t="shared" si="13"/>
        <v>5.7000000000000028</v>
      </c>
      <c r="G101" s="20">
        <f t="shared" si="7"/>
        <v>1</v>
      </c>
      <c r="H101" s="45">
        <f t="shared" si="8"/>
        <v>27.930000000000017</v>
      </c>
      <c r="I101" s="46">
        <f t="shared" si="9"/>
        <v>6.4523000000000001</v>
      </c>
      <c r="J101" s="47">
        <f t="shared" si="3"/>
        <v>34.382300000000001</v>
      </c>
      <c r="K101" s="47">
        <f t="shared" si="4"/>
        <v>0.68759999999999999</v>
      </c>
      <c r="L101" s="47">
        <f t="shared" si="5"/>
        <v>35.069899999999997</v>
      </c>
      <c r="M101" s="48">
        <f t="shared" si="14"/>
        <v>0</v>
      </c>
      <c r="N101" s="49">
        <f t="shared" si="10"/>
        <v>276.87389999999999</v>
      </c>
    </row>
    <row r="102" spans="3:14" x14ac:dyDescent="0.3">
      <c r="C102" s="31">
        <f t="shared" si="11"/>
        <v>46014</v>
      </c>
      <c r="D102" s="44">
        <f t="shared" si="12"/>
        <v>52.800000000000004</v>
      </c>
      <c r="E102" s="44">
        <f t="shared" si="6"/>
        <v>58.7</v>
      </c>
      <c r="F102" s="44">
        <f t="shared" si="13"/>
        <v>5.8999999999999986</v>
      </c>
      <c r="G102" s="20">
        <f t="shared" si="7"/>
        <v>2</v>
      </c>
      <c r="H102" s="45">
        <f t="shared" si="8"/>
        <v>41.889999999999986</v>
      </c>
      <c r="I102" s="46">
        <f t="shared" si="9"/>
        <v>6.4523000000000001</v>
      </c>
      <c r="J102" s="47">
        <f t="shared" si="3"/>
        <v>48.342300000000002</v>
      </c>
      <c r="K102" s="47">
        <f t="shared" si="4"/>
        <v>0.96679999999999999</v>
      </c>
      <c r="L102" s="47">
        <f t="shared" si="5"/>
        <v>49.309100000000001</v>
      </c>
      <c r="M102" s="48">
        <f t="shared" si="14"/>
        <v>0</v>
      </c>
      <c r="N102" s="49">
        <f t="shared" si="10"/>
        <v>227.56479999999999</v>
      </c>
    </row>
    <row r="103" spans="3:14" x14ac:dyDescent="0.3">
      <c r="C103" s="31">
        <f t="shared" si="11"/>
        <v>46015</v>
      </c>
      <c r="D103" s="44">
        <f t="shared" si="12"/>
        <v>58.7</v>
      </c>
      <c r="E103" s="44">
        <f t="shared" si="6"/>
        <v>64.900000000000006</v>
      </c>
      <c r="F103" s="44">
        <f t="shared" si="13"/>
        <v>6.2000000000000028</v>
      </c>
      <c r="G103" s="20">
        <f t="shared" si="7"/>
        <v>2</v>
      </c>
      <c r="H103" s="45">
        <f t="shared" si="8"/>
        <v>44.020000000000017</v>
      </c>
      <c r="I103" s="46">
        <f t="shared" si="9"/>
        <v>6.4523000000000001</v>
      </c>
      <c r="J103" s="47">
        <f t="shared" si="3"/>
        <v>50.472299999999997</v>
      </c>
      <c r="K103" s="47">
        <f t="shared" si="4"/>
        <v>1.0094000000000001</v>
      </c>
      <c r="L103" s="47">
        <f t="shared" si="5"/>
        <v>51.481699999999996</v>
      </c>
      <c r="M103" s="48">
        <f t="shared" si="14"/>
        <v>0</v>
      </c>
      <c r="N103" s="49">
        <f t="shared" si="10"/>
        <v>176.0831</v>
      </c>
    </row>
    <row r="104" spans="3:14" x14ac:dyDescent="0.3">
      <c r="C104" s="31">
        <f t="shared" si="11"/>
        <v>46016</v>
      </c>
      <c r="D104" s="44">
        <f t="shared" si="12"/>
        <v>64.900000000000006</v>
      </c>
      <c r="E104" s="44">
        <f t="shared" si="6"/>
        <v>71.400000000000006</v>
      </c>
      <c r="F104" s="44">
        <f t="shared" si="13"/>
        <v>6.5</v>
      </c>
      <c r="G104" s="20">
        <f t="shared" si="7"/>
        <v>2</v>
      </c>
      <c r="H104" s="45">
        <f t="shared" si="8"/>
        <v>46.15</v>
      </c>
      <c r="I104" s="46">
        <f t="shared" si="9"/>
        <v>6.4523000000000001</v>
      </c>
      <c r="J104" s="47">
        <f t="shared" si="3"/>
        <v>52.6023</v>
      </c>
      <c r="K104" s="47">
        <f t="shared" si="4"/>
        <v>1.052</v>
      </c>
      <c r="L104" s="47">
        <f t="shared" si="5"/>
        <v>53.654299999999999</v>
      </c>
      <c r="M104" s="48">
        <f t="shared" si="14"/>
        <v>0</v>
      </c>
      <c r="N104" s="49">
        <f t="shared" si="10"/>
        <v>122.4288</v>
      </c>
    </row>
    <row r="105" spans="3:14" x14ac:dyDescent="0.3">
      <c r="C105" s="31">
        <f t="shared" si="11"/>
        <v>46017</v>
      </c>
      <c r="D105" s="44">
        <f t="shared" si="12"/>
        <v>71.400000000000006</v>
      </c>
      <c r="E105" s="44">
        <f t="shared" si="6"/>
        <v>77.2</v>
      </c>
      <c r="F105" s="44">
        <f t="shared" si="13"/>
        <v>5.7999999999999972</v>
      </c>
      <c r="G105" s="20">
        <f t="shared" si="7"/>
        <v>2</v>
      </c>
      <c r="H105" s="45">
        <f t="shared" si="8"/>
        <v>41.179999999999978</v>
      </c>
      <c r="I105" s="46">
        <f t="shared" si="9"/>
        <v>6.4523000000000001</v>
      </c>
      <c r="J105" s="47">
        <f t="shared" si="3"/>
        <v>47.632300000000001</v>
      </c>
      <c r="K105" s="47">
        <f t="shared" si="4"/>
        <v>0.9526</v>
      </c>
      <c r="L105" s="47">
        <f t="shared" si="5"/>
        <v>48.584899999999998</v>
      </c>
      <c r="M105" s="48">
        <f t="shared" si="14"/>
        <v>0</v>
      </c>
      <c r="N105" s="49">
        <f t="shared" si="10"/>
        <v>73.843899999999991</v>
      </c>
    </row>
    <row r="106" spans="3:14" x14ac:dyDescent="0.3">
      <c r="C106" s="31">
        <f t="shared" si="11"/>
        <v>46018</v>
      </c>
      <c r="D106" s="44">
        <f t="shared" si="12"/>
        <v>77.2</v>
      </c>
      <c r="E106" s="44">
        <f t="shared" si="6"/>
        <v>82.8</v>
      </c>
      <c r="F106" s="44">
        <f t="shared" si="13"/>
        <v>5.5999999999999943</v>
      </c>
      <c r="G106" s="20">
        <f t="shared" si="7"/>
        <v>2</v>
      </c>
      <c r="H106" s="45">
        <f t="shared" si="8"/>
        <v>39.759999999999955</v>
      </c>
      <c r="I106" s="46">
        <f t="shared" si="9"/>
        <v>6.4523000000000001</v>
      </c>
      <c r="J106" s="47">
        <f t="shared" si="3"/>
        <v>46.212299999999999</v>
      </c>
      <c r="K106" s="47">
        <f t="shared" si="4"/>
        <v>0.92420000000000002</v>
      </c>
      <c r="L106" s="47">
        <f t="shared" si="5"/>
        <v>47.136499999999998</v>
      </c>
      <c r="M106" s="48">
        <f t="shared" si="14"/>
        <v>0</v>
      </c>
      <c r="N106" s="49">
        <f t="shared" si="10"/>
        <v>26.707399999999993</v>
      </c>
    </row>
    <row r="107" spans="3:14" x14ac:dyDescent="0.3">
      <c r="C107" s="31">
        <f t="shared" si="11"/>
        <v>46019</v>
      </c>
      <c r="D107" s="44">
        <f t="shared" si="12"/>
        <v>82.8</v>
      </c>
      <c r="E107" s="44">
        <f t="shared" si="6"/>
        <v>88.7</v>
      </c>
      <c r="F107" s="44">
        <f t="shared" si="13"/>
        <v>5.9000000000000057</v>
      </c>
      <c r="G107" s="20">
        <f t="shared" si="7"/>
        <v>2</v>
      </c>
      <c r="H107" s="45">
        <f t="shared" si="8"/>
        <v>41.890000000000036</v>
      </c>
      <c r="I107" s="46">
        <f t="shared" si="9"/>
        <v>6.4523000000000001</v>
      </c>
      <c r="J107" s="47">
        <f t="shared" si="3"/>
        <v>48.342300000000002</v>
      </c>
      <c r="K107" s="47">
        <f t="shared" si="4"/>
        <v>0.96679999999999999</v>
      </c>
      <c r="L107" s="47">
        <f t="shared" si="5"/>
        <v>49.309100000000001</v>
      </c>
      <c r="M107" s="48">
        <f t="shared" si="14"/>
        <v>0</v>
      </c>
      <c r="N107" s="49">
        <f t="shared" si="10"/>
        <v>-22.601700000000008</v>
      </c>
    </row>
    <row r="108" spans="3:14" x14ac:dyDescent="0.3">
      <c r="C108" s="31">
        <f t="shared" si="11"/>
        <v>46020</v>
      </c>
      <c r="D108" s="44">
        <f t="shared" si="12"/>
        <v>88.7</v>
      </c>
      <c r="E108" s="44">
        <f t="shared" si="6"/>
        <v>94.4</v>
      </c>
      <c r="F108" s="44">
        <f t="shared" si="13"/>
        <v>5.7000000000000028</v>
      </c>
      <c r="G108" s="20">
        <f t="shared" si="7"/>
        <v>2</v>
      </c>
      <c r="H108" s="45">
        <f t="shared" si="8"/>
        <v>40.47000000000002</v>
      </c>
      <c r="I108" s="46">
        <f t="shared" si="9"/>
        <v>6.4523000000000001</v>
      </c>
      <c r="J108" s="47">
        <f t="shared" si="3"/>
        <v>46.9223</v>
      </c>
      <c r="K108" s="47">
        <f t="shared" si="4"/>
        <v>0.93840000000000001</v>
      </c>
      <c r="L108" s="47">
        <f t="shared" si="5"/>
        <v>47.860700000000001</v>
      </c>
      <c r="M108" s="48">
        <f t="shared" si="14"/>
        <v>0</v>
      </c>
      <c r="N108" s="49">
        <f t="shared" si="10"/>
        <v>-70.462400000000002</v>
      </c>
    </row>
    <row r="109" spans="3:14" x14ac:dyDescent="0.3">
      <c r="C109" s="31">
        <f t="shared" si="11"/>
        <v>46021</v>
      </c>
      <c r="D109" s="44">
        <f t="shared" si="12"/>
        <v>94.4</v>
      </c>
      <c r="E109" s="44">
        <f t="shared" si="6"/>
        <v>100.2</v>
      </c>
      <c r="F109" s="44">
        <f t="shared" si="13"/>
        <v>5.7999999999999972</v>
      </c>
      <c r="G109" s="20">
        <f t="shared" si="7"/>
        <v>2</v>
      </c>
      <c r="H109" s="45">
        <f t="shared" si="8"/>
        <v>41.179999999999978</v>
      </c>
      <c r="I109" s="46">
        <f t="shared" si="9"/>
        <v>6.4523000000000001</v>
      </c>
      <c r="J109" s="47">
        <f t="shared" si="3"/>
        <v>47.632300000000001</v>
      </c>
      <c r="K109" s="47">
        <f t="shared" si="4"/>
        <v>0.9526</v>
      </c>
      <c r="L109" s="47">
        <f t="shared" si="5"/>
        <v>48.584899999999998</v>
      </c>
      <c r="M109" s="48">
        <f t="shared" si="14"/>
        <v>0</v>
      </c>
      <c r="N109" s="49">
        <f t="shared" si="10"/>
        <v>-119.04730000000001</v>
      </c>
    </row>
    <row r="110" spans="3:14" x14ac:dyDescent="0.3">
      <c r="C110" s="31">
        <f t="shared" si="11"/>
        <v>46022</v>
      </c>
      <c r="D110" s="44">
        <f t="shared" si="12"/>
        <v>100.2</v>
      </c>
      <c r="E110" s="44">
        <f t="shared" si="6"/>
        <v>106.5</v>
      </c>
      <c r="F110" s="44">
        <f t="shared" si="13"/>
        <v>6.2999999999999972</v>
      </c>
      <c r="G110" s="20">
        <f t="shared" si="7"/>
        <v>2</v>
      </c>
      <c r="H110" s="45">
        <f t="shared" si="8"/>
        <v>44.729999999999976</v>
      </c>
      <c r="I110" s="46">
        <f t="shared" si="9"/>
        <v>6.4523000000000001</v>
      </c>
      <c r="J110" s="47">
        <f t="shared" si="3"/>
        <v>51.182299999999998</v>
      </c>
      <c r="K110" s="47">
        <f t="shared" si="4"/>
        <v>1.0236000000000001</v>
      </c>
      <c r="L110" s="47">
        <f t="shared" si="5"/>
        <v>52.2059</v>
      </c>
      <c r="M110" s="48">
        <f t="shared" si="14"/>
        <v>0</v>
      </c>
      <c r="N110" s="49">
        <f t="shared" si="10"/>
        <v>-171.25319999999999</v>
      </c>
    </row>
    <row r="111" spans="3:14" x14ac:dyDescent="0.3">
      <c r="C111" s="31"/>
    </row>
    <row r="112" spans="3:14" x14ac:dyDescent="0.3">
      <c r="C112" s="31"/>
    </row>
    <row r="113" spans="3:3" x14ac:dyDescent="0.3">
      <c r="C113" s="31"/>
    </row>
    <row r="114" spans="3:3" x14ac:dyDescent="0.3">
      <c r="C114" s="31"/>
    </row>
    <row r="115" spans="3:3" x14ac:dyDescent="0.3">
      <c r="C115" s="31"/>
    </row>
    <row r="116" spans="3:3" x14ac:dyDescent="0.3">
      <c r="C116" s="31"/>
    </row>
    <row r="117" spans="3:3" x14ac:dyDescent="0.3">
      <c r="C117" s="31"/>
    </row>
    <row r="118" spans="3:3" x14ac:dyDescent="0.3">
      <c r="C118" s="31"/>
    </row>
    <row r="119" spans="3:3" x14ac:dyDescent="0.3">
      <c r="C119" s="31"/>
    </row>
    <row r="120" spans="3:3" x14ac:dyDescent="0.3">
      <c r="C120" s="31"/>
    </row>
    <row r="121" spans="3:3" x14ac:dyDescent="0.3">
      <c r="C121" s="31"/>
    </row>
    <row r="122" spans="3:3" x14ac:dyDescent="0.3">
      <c r="C122" s="31"/>
    </row>
    <row r="123" spans="3:3" x14ac:dyDescent="0.3">
      <c r="C123" s="31"/>
    </row>
    <row r="124" spans="3:3" x14ac:dyDescent="0.3">
      <c r="C124" s="31"/>
    </row>
    <row r="125" spans="3:3" x14ac:dyDescent="0.3">
      <c r="C125" s="31"/>
    </row>
    <row r="126" spans="3:3" x14ac:dyDescent="0.3">
      <c r="C126" s="31"/>
    </row>
    <row r="127" spans="3:3" x14ac:dyDescent="0.3">
      <c r="C127" s="31"/>
    </row>
    <row r="128" spans="3:3" x14ac:dyDescent="0.3">
      <c r="C128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2.2 Domestic(LT)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Narayana</dc:creator>
  <cp:lastModifiedBy>Sumitbhai Vadaviya</cp:lastModifiedBy>
  <dcterms:created xsi:type="dcterms:W3CDTF">2026-01-15T14:11:10Z</dcterms:created>
  <dcterms:modified xsi:type="dcterms:W3CDTF">2026-01-28T09:26:08Z</dcterms:modified>
</cp:coreProperties>
</file>