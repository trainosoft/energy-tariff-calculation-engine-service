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CF7551A0-CD1C-4ACA-B118-D161B3B083DA}" xr6:coauthVersionLast="47" xr6:coauthVersionMax="47" xr10:uidLastSave="{00000000-0000-0000-0000-000000000000}"/>
  <bookViews>
    <workbookView xWindow="-108" yWindow="-108" windowWidth="23256" windowHeight="12456" xr2:uid="{E06D42DD-0AD3-4F82-B442-07B8C606C3A0}"/>
  </bookViews>
  <sheets>
    <sheet name="3.1Domestic(H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C33" i="1"/>
  <c r="C34" i="1" s="1"/>
  <c r="E25" i="1"/>
  <c r="K23" i="1"/>
  <c r="K25" i="1" s="1"/>
  <c r="K22" i="1"/>
  <c r="D18" i="1"/>
  <c r="D19" i="1" s="1"/>
  <c r="D20" i="1" s="1"/>
  <c r="E26" i="1" s="1"/>
  <c r="E27" i="1" s="1"/>
  <c r="D17" i="1"/>
  <c r="K26" i="1" l="1"/>
  <c r="K27" i="1" s="1"/>
  <c r="C35" i="1"/>
  <c r="D34" i="1"/>
  <c r="E34" i="1" s="1"/>
  <c r="D33" i="1"/>
  <c r="C70" i="1"/>
  <c r="E33" i="1" l="1"/>
  <c r="H70" i="1"/>
  <c r="G70" i="1"/>
  <c r="M70" i="1"/>
  <c r="C71" i="1"/>
  <c r="L70" i="1"/>
  <c r="O70" i="1"/>
  <c r="D35" i="1"/>
  <c r="E35" i="1" s="1"/>
  <c r="C36" i="1"/>
  <c r="H71" i="1" l="1"/>
  <c r="G71" i="1"/>
  <c r="L71" i="1"/>
  <c r="C72" i="1"/>
  <c r="O71" i="1"/>
  <c r="M71" i="1"/>
  <c r="I70" i="1"/>
  <c r="P70" i="1"/>
  <c r="C37" i="1"/>
  <c r="D36" i="1"/>
  <c r="E36" i="1" s="1"/>
  <c r="E70" i="1"/>
  <c r="J70" i="1" l="1"/>
  <c r="K70" i="1" s="1"/>
  <c r="G72" i="1"/>
  <c r="C73" i="1"/>
  <c r="H72" i="1"/>
  <c r="O72" i="1"/>
  <c r="M72" i="1"/>
  <c r="L72" i="1"/>
  <c r="I71" i="1"/>
  <c r="P71" i="1"/>
  <c r="C38" i="1"/>
  <c r="D37" i="1"/>
  <c r="E37" i="1" s="1"/>
  <c r="E71" i="1"/>
  <c r="F70" i="1"/>
  <c r="D71" i="1"/>
  <c r="C39" i="1" l="1"/>
  <c r="D38" i="1"/>
  <c r="E38" i="1" s="1"/>
  <c r="H73" i="1"/>
  <c r="C74" i="1"/>
  <c r="O73" i="1"/>
  <c r="M73" i="1"/>
  <c r="G73" i="1"/>
  <c r="L73" i="1"/>
  <c r="I72" i="1"/>
  <c r="P72" i="1"/>
  <c r="J71" i="1"/>
  <c r="K71" i="1" s="1"/>
  <c r="E72" i="1"/>
  <c r="F71" i="1"/>
  <c r="D72" i="1"/>
  <c r="D39" i="1" l="1"/>
  <c r="E39" i="1" s="1"/>
  <c r="C40" i="1"/>
  <c r="I73" i="1"/>
  <c r="P73" i="1"/>
  <c r="G74" i="1"/>
  <c r="C75" i="1"/>
  <c r="O74" i="1"/>
  <c r="M74" i="1"/>
  <c r="H74" i="1"/>
  <c r="L74" i="1"/>
  <c r="E73" i="1"/>
  <c r="F72" i="1"/>
  <c r="D73" i="1"/>
  <c r="J72" i="1"/>
  <c r="K72" i="1"/>
  <c r="P74" i="1" l="1"/>
  <c r="I74" i="1"/>
  <c r="C76" i="1"/>
  <c r="H75" i="1"/>
  <c r="O75" i="1"/>
  <c r="M75" i="1"/>
  <c r="G75" i="1"/>
  <c r="L75" i="1"/>
  <c r="J73" i="1"/>
  <c r="K73" i="1"/>
  <c r="C41" i="1"/>
  <c r="D40" i="1"/>
  <c r="E40" i="1" s="1"/>
  <c r="E74" i="1"/>
  <c r="F73" i="1"/>
  <c r="D74" i="1"/>
  <c r="C42" i="1" l="1"/>
  <c r="D41" i="1"/>
  <c r="E41" i="1" s="1"/>
  <c r="P75" i="1"/>
  <c r="I75" i="1"/>
  <c r="O76" i="1"/>
  <c r="M76" i="1"/>
  <c r="L76" i="1"/>
  <c r="C77" i="1"/>
  <c r="G76" i="1"/>
  <c r="H76" i="1"/>
  <c r="D75" i="1"/>
  <c r="E75" i="1"/>
  <c r="F74" i="1"/>
  <c r="J74" i="1"/>
  <c r="K74" i="1" s="1"/>
  <c r="C43" i="1" l="1"/>
  <c r="D42" i="1"/>
  <c r="E42" i="1" s="1"/>
  <c r="C78" i="1"/>
  <c r="O77" i="1"/>
  <c r="M77" i="1"/>
  <c r="L77" i="1"/>
  <c r="H77" i="1"/>
  <c r="G77" i="1"/>
  <c r="J75" i="1"/>
  <c r="K75" i="1" s="1"/>
  <c r="E76" i="1"/>
  <c r="F75" i="1"/>
  <c r="D76" i="1"/>
  <c r="P76" i="1"/>
  <c r="I76" i="1"/>
  <c r="D77" i="1" l="1"/>
  <c r="F76" i="1"/>
  <c r="E77" i="1"/>
  <c r="P77" i="1"/>
  <c r="I77" i="1"/>
  <c r="J76" i="1"/>
  <c r="K76" i="1" s="1"/>
  <c r="M78" i="1"/>
  <c r="L78" i="1"/>
  <c r="C79" i="1"/>
  <c r="H78" i="1"/>
  <c r="O78" i="1"/>
  <c r="G78" i="1"/>
  <c r="D43" i="1"/>
  <c r="E43" i="1" s="1"/>
  <c r="C44" i="1"/>
  <c r="J77" i="1" l="1"/>
  <c r="K77" i="1" s="1"/>
  <c r="O79" i="1"/>
  <c r="L79" i="1"/>
  <c r="H79" i="1"/>
  <c r="M79" i="1"/>
  <c r="G79" i="1"/>
  <c r="C80" i="1"/>
  <c r="D44" i="1"/>
  <c r="E44" i="1" s="1"/>
  <c r="C45" i="1"/>
  <c r="F77" i="1"/>
  <c r="D78" i="1"/>
  <c r="E78" i="1"/>
  <c r="P78" i="1"/>
  <c r="I78" i="1"/>
  <c r="C46" i="1" l="1"/>
  <c r="D45" i="1"/>
  <c r="E45" i="1" s="1"/>
  <c r="I79" i="1"/>
  <c r="P79" i="1"/>
  <c r="M80" i="1"/>
  <c r="H80" i="1"/>
  <c r="O80" i="1"/>
  <c r="L80" i="1"/>
  <c r="G80" i="1"/>
  <c r="C81" i="1"/>
  <c r="J78" i="1"/>
  <c r="K78" i="1" s="1"/>
  <c r="D79" i="1"/>
  <c r="E79" i="1"/>
  <c r="F78" i="1"/>
  <c r="L81" i="1" l="1"/>
  <c r="M81" i="1"/>
  <c r="H81" i="1"/>
  <c r="G81" i="1"/>
  <c r="O81" i="1"/>
  <c r="C82" i="1"/>
  <c r="I80" i="1"/>
  <c r="P80" i="1"/>
  <c r="E80" i="1"/>
  <c r="F79" i="1"/>
  <c r="D80" i="1"/>
  <c r="K79" i="1"/>
  <c r="J79" i="1"/>
  <c r="C47" i="1"/>
  <c r="D46" i="1"/>
  <c r="E46" i="1" s="1"/>
  <c r="E81" i="1" l="1"/>
  <c r="F80" i="1"/>
  <c r="D81" i="1"/>
  <c r="J80" i="1"/>
  <c r="K80" i="1" s="1"/>
  <c r="D47" i="1"/>
  <c r="E47" i="1" s="1"/>
  <c r="C48" i="1"/>
  <c r="H82" i="1"/>
  <c r="M82" i="1"/>
  <c r="G82" i="1"/>
  <c r="L82" i="1"/>
  <c r="C83" i="1"/>
  <c r="O82" i="1"/>
  <c r="I81" i="1"/>
  <c r="P81" i="1"/>
  <c r="I82" i="1" l="1"/>
  <c r="P82" i="1"/>
  <c r="H83" i="1"/>
  <c r="C84" i="1"/>
  <c r="L83" i="1"/>
  <c r="O83" i="1"/>
  <c r="C49" i="1"/>
  <c r="D48" i="1"/>
  <c r="E48" i="1" s="1"/>
  <c r="J81" i="1"/>
  <c r="K81" i="1"/>
  <c r="E82" i="1"/>
  <c r="F81" i="1"/>
  <c r="D82" i="1"/>
  <c r="C50" i="1" l="1"/>
  <c r="D49" i="1"/>
  <c r="E49" i="1" s="1"/>
  <c r="C85" i="1"/>
  <c r="O84" i="1"/>
  <c r="H84" i="1"/>
  <c r="L84" i="1"/>
  <c r="E83" i="1"/>
  <c r="F82" i="1"/>
  <c r="D83" i="1"/>
  <c r="K82" i="1"/>
  <c r="J82" i="1"/>
  <c r="E84" i="1" l="1"/>
  <c r="F83" i="1"/>
  <c r="G83" i="1" s="1"/>
  <c r="D84" i="1"/>
  <c r="H85" i="1"/>
  <c r="C86" i="1"/>
  <c r="O85" i="1"/>
  <c r="L85" i="1"/>
  <c r="C51" i="1"/>
  <c r="D50" i="1"/>
  <c r="E50" i="1" s="1"/>
  <c r="I83" i="1" l="1"/>
  <c r="P83" i="1"/>
  <c r="D51" i="1"/>
  <c r="E51" i="1" s="1"/>
  <c r="C52" i="1"/>
  <c r="C87" i="1"/>
  <c r="O86" i="1"/>
  <c r="H86" i="1"/>
  <c r="L86" i="1"/>
  <c r="E85" i="1"/>
  <c r="F84" i="1"/>
  <c r="G84" i="1" s="1"/>
  <c r="D85" i="1"/>
  <c r="I84" i="1" l="1"/>
  <c r="P84" i="1"/>
  <c r="E86" i="1"/>
  <c r="F85" i="1"/>
  <c r="G85" i="1" s="1"/>
  <c r="D86" i="1"/>
  <c r="D52" i="1"/>
  <c r="E52" i="1" s="1"/>
  <c r="C53" i="1"/>
  <c r="C88" i="1"/>
  <c r="O87" i="1"/>
  <c r="L87" i="1"/>
  <c r="H87" i="1"/>
  <c r="J83" i="1"/>
  <c r="K83" i="1" s="1"/>
  <c r="M83" i="1" s="1"/>
  <c r="O88" i="1" l="1"/>
  <c r="L88" i="1"/>
  <c r="C89" i="1"/>
  <c r="H88" i="1"/>
  <c r="P85" i="1"/>
  <c r="I85" i="1"/>
  <c r="C54" i="1"/>
  <c r="D53" i="1"/>
  <c r="E53" i="1" s="1"/>
  <c r="D87" i="1"/>
  <c r="F86" i="1"/>
  <c r="G86" i="1" s="1"/>
  <c r="E87" i="1"/>
  <c r="J84" i="1"/>
  <c r="K84" i="1" s="1"/>
  <c r="M84" i="1" s="1"/>
  <c r="C55" i="1" l="1"/>
  <c r="D54" i="1"/>
  <c r="E54" i="1" s="1"/>
  <c r="J85" i="1"/>
  <c r="K85" i="1" s="1"/>
  <c r="M85" i="1" s="1"/>
  <c r="C90" i="1"/>
  <c r="O89" i="1"/>
  <c r="L89" i="1"/>
  <c r="H89" i="1"/>
  <c r="E88" i="1"/>
  <c r="F87" i="1"/>
  <c r="G87" i="1" s="1"/>
  <c r="D88" i="1"/>
  <c r="I86" i="1"/>
  <c r="P86" i="1"/>
  <c r="D89" i="1" l="1"/>
  <c r="F88" i="1"/>
  <c r="G88" i="1" s="1"/>
  <c r="E89" i="1"/>
  <c r="J86" i="1"/>
  <c r="K86" i="1" s="1"/>
  <c r="M86" i="1" s="1"/>
  <c r="D55" i="1"/>
  <c r="E55" i="1" s="1"/>
  <c r="C56" i="1"/>
  <c r="L90" i="1"/>
  <c r="C91" i="1"/>
  <c r="O90" i="1"/>
  <c r="H90" i="1"/>
  <c r="P87" i="1"/>
  <c r="I87" i="1"/>
  <c r="O91" i="1" l="1"/>
  <c r="L91" i="1"/>
  <c r="C92" i="1"/>
  <c r="H91" i="1"/>
  <c r="J87" i="1"/>
  <c r="K87" i="1" s="1"/>
  <c r="M87" i="1" s="1"/>
  <c r="D90" i="1"/>
  <c r="F89" i="1"/>
  <c r="G89" i="1" s="1"/>
  <c r="E90" i="1"/>
  <c r="P88" i="1"/>
  <c r="I88" i="1"/>
  <c r="C57" i="1"/>
  <c r="D56" i="1"/>
  <c r="E56" i="1" s="1"/>
  <c r="I89" i="1" l="1"/>
  <c r="P89" i="1"/>
  <c r="O92" i="1"/>
  <c r="H92" i="1"/>
  <c r="L92" i="1"/>
  <c r="C93" i="1"/>
  <c r="C58" i="1"/>
  <c r="D57" i="1"/>
  <c r="E57" i="1" s="1"/>
  <c r="D91" i="1"/>
  <c r="E91" i="1"/>
  <c r="F90" i="1"/>
  <c r="G90" i="1" s="1"/>
  <c r="J88" i="1"/>
  <c r="K88" i="1" s="1"/>
  <c r="M88" i="1" s="1"/>
  <c r="L93" i="1" l="1"/>
  <c r="H93" i="1"/>
  <c r="O93" i="1"/>
  <c r="C94" i="1"/>
  <c r="C59" i="1"/>
  <c r="D58" i="1"/>
  <c r="E58" i="1" s="1"/>
  <c r="P90" i="1"/>
  <c r="I90" i="1"/>
  <c r="K89" i="1"/>
  <c r="M89" i="1" s="1"/>
  <c r="J89" i="1"/>
  <c r="E92" i="1"/>
  <c r="F91" i="1"/>
  <c r="G91" i="1" s="1"/>
  <c r="D92" i="1"/>
  <c r="J90" i="1" l="1"/>
  <c r="K90" i="1" s="1"/>
  <c r="M90" i="1" s="1"/>
  <c r="D59" i="1"/>
  <c r="E59" i="1" s="1"/>
  <c r="C60" i="1"/>
  <c r="H94" i="1"/>
  <c r="L94" i="1"/>
  <c r="C95" i="1"/>
  <c r="O94" i="1"/>
  <c r="I91" i="1"/>
  <c r="P91" i="1"/>
  <c r="E93" i="1"/>
  <c r="F92" i="1"/>
  <c r="G92" i="1" s="1"/>
  <c r="D93" i="1"/>
  <c r="C61" i="1" l="1"/>
  <c r="D60" i="1"/>
  <c r="E60" i="1" s="1"/>
  <c r="I92" i="1"/>
  <c r="P92" i="1"/>
  <c r="J91" i="1"/>
  <c r="K91" i="1" s="1"/>
  <c r="M91" i="1" s="1"/>
  <c r="H95" i="1"/>
  <c r="C96" i="1"/>
  <c r="L95" i="1"/>
  <c r="O95" i="1"/>
  <c r="E94" i="1"/>
  <c r="F93" i="1"/>
  <c r="G93" i="1" s="1"/>
  <c r="D94" i="1"/>
  <c r="J92" i="1" l="1"/>
  <c r="K92" i="1" s="1"/>
  <c r="M92" i="1" s="1"/>
  <c r="I93" i="1"/>
  <c r="P93" i="1"/>
  <c r="E95" i="1"/>
  <c r="F94" i="1"/>
  <c r="G94" i="1" s="1"/>
  <c r="D95" i="1"/>
  <c r="C62" i="1"/>
  <c r="D61" i="1"/>
  <c r="E61" i="1" s="1"/>
  <c r="C97" i="1"/>
  <c r="H96" i="1"/>
  <c r="O96" i="1"/>
  <c r="L96" i="1"/>
  <c r="I94" i="1" l="1"/>
  <c r="P94" i="1"/>
  <c r="C63" i="1"/>
  <c r="D63" i="1" s="1"/>
  <c r="D62" i="1"/>
  <c r="E62" i="1" s="1"/>
  <c r="J93" i="1"/>
  <c r="K93" i="1"/>
  <c r="M93" i="1" s="1"/>
  <c r="H97" i="1"/>
  <c r="C98" i="1"/>
  <c r="O97" i="1"/>
  <c r="L97" i="1"/>
  <c r="E96" i="1"/>
  <c r="F95" i="1"/>
  <c r="G95" i="1" s="1"/>
  <c r="D96" i="1"/>
  <c r="E63" i="1" l="1"/>
  <c r="E64" i="1" s="1"/>
  <c r="D64" i="1"/>
  <c r="I95" i="1"/>
  <c r="P95" i="1"/>
  <c r="C99" i="1"/>
  <c r="H98" i="1"/>
  <c r="O98" i="1"/>
  <c r="L98" i="1"/>
  <c r="E97" i="1"/>
  <c r="F96" i="1"/>
  <c r="G96" i="1" s="1"/>
  <c r="D97" i="1"/>
  <c r="K94" i="1"/>
  <c r="M94" i="1" s="1"/>
  <c r="J94" i="1"/>
  <c r="C100" i="1" l="1"/>
  <c r="O99" i="1"/>
  <c r="L99" i="1"/>
  <c r="H99" i="1"/>
  <c r="J95" i="1"/>
  <c r="K95" i="1" s="1"/>
  <c r="M95" i="1" s="1"/>
  <c r="E98" i="1"/>
  <c r="F97" i="1"/>
  <c r="G97" i="1" s="1"/>
  <c r="D98" i="1"/>
  <c r="I96" i="1"/>
  <c r="P96" i="1"/>
  <c r="D99" i="1" l="1"/>
  <c r="E99" i="1"/>
  <c r="F98" i="1"/>
  <c r="G98" i="1" s="1"/>
  <c r="P97" i="1"/>
  <c r="I97" i="1"/>
  <c r="O100" i="1"/>
  <c r="O101" i="1" s="1"/>
  <c r="L100" i="1"/>
  <c r="H100" i="1"/>
  <c r="H101" i="1" s="1"/>
  <c r="J96" i="1"/>
  <c r="K96" i="1" s="1"/>
  <c r="M96" i="1" s="1"/>
  <c r="P98" i="1" l="1"/>
  <c r="I98" i="1"/>
  <c r="E100" i="1"/>
  <c r="F99" i="1"/>
  <c r="G99" i="1" s="1"/>
  <c r="D100" i="1"/>
  <c r="J97" i="1"/>
  <c r="K97" i="1" s="1"/>
  <c r="M97" i="1" s="1"/>
  <c r="P99" i="1" l="1"/>
  <c r="I99" i="1"/>
  <c r="F100" i="1"/>
  <c r="G100" i="1" s="1"/>
  <c r="J98" i="1"/>
  <c r="K98" i="1" s="1"/>
  <c r="M98" i="1" s="1"/>
  <c r="P100" i="1" l="1"/>
  <c r="I100" i="1"/>
  <c r="J99" i="1"/>
  <c r="K99" i="1" s="1"/>
  <c r="M99" i="1" s="1"/>
  <c r="J100" i="1" l="1"/>
  <c r="P101" i="1" s="1"/>
  <c r="K100" i="1" l="1"/>
  <c r="M100" i="1" l="1"/>
  <c r="M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O101" authorId="0" shapeId="0" xr:uid="{DF8B9030-994D-4405-8DFF-340998DA1A87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<sst xmlns="http://schemas.openxmlformats.org/spreadsheetml/2006/main" count="108" uniqueCount="103">
  <si>
    <t>HT Category - I: Domestic Service</t>
  </si>
  <si>
    <t xml:space="preserve">Applicability: </t>
  </si>
  <si>
    <t xml:space="preserve">This tariff is applicable for the similar purposes as already defined in LT category- 2 above and rates are as follows: </t>
  </si>
  <si>
    <t>HT Category - I: Domestic Service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</si>
  <si>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</si>
  <si>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</si>
  <si>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</si>
  <si>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</si>
  <si>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</si>
  <si>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</si>
  <si>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</si>
  <si>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Domestic Service (HT)</t>
  </si>
  <si>
    <t>Load:Domestic Service (HT)</t>
  </si>
  <si>
    <t>1,500 – 3,000</t>
  </si>
  <si>
    <t>Kwh</t>
  </si>
  <si>
    <t>Usage Profile</t>
  </si>
  <si>
    <t>Monthly kWh</t>
  </si>
  <si>
    <t>Remarks</t>
  </si>
  <si>
    <t>Contracted Load</t>
  </si>
  <si>
    <t>kVA</t>
  </si>
  <si>
    <t>Very low HT usage (10 kVA consumer)</t>
  </si>
  <si>
    <t>1,500 – 3,000 kWh</t>
  </si>
  <si>
    <t>1 lift or pump, corridor lighting</t>
  </si>
  <si>
    <t>Installation Date</t>
  </si>
  <si>
    <t>Date</t>
  </si>
  <si>
    <t>Low usage</t>
  </si>
  <si>
    <t>5,000 – 10,000 kWh</t>
  </si>
  <si>
    <t>Limited common services</t>
  </si>
  <si>
    <t>Multiplying Factor</t>
  </si>
  <si>
    <t>Moderate usage</t>
  </si>
  <si>
    <t>10,000 – 25,000 kWh</t>
  </si>
  <si>
    <t>Typical apartment complex</t>
  </si>
  <si>
    <t>Current Month days</t>
  </si>
  <si>
    <t>Days</t>
  </si>
  <si>
    <t>Higher usage</t>
  </si>
  <si>
    <t>25,000 – 60,000 kWh</t>
  </si>
  <si>
    <t>Multiple lifts, pumps, amenities</t>
  </si>
  <si>
    <t>Last Date of Month</t>
  </si>
  <si>
    <t>Heavy domestic (still HT)</t>
  </si>
  <si>
    <t>60,000 – 120,000 kWh</t>
  </si>
  <si>
    <t>Large complexes, 24×7 services</t>
  </si>
  <si>
    <t>Bill Days</t>
  </si>
  <si>
    <t>Including Installation Day</t>
  </si>
  <si>
    <t>Bill factor</t>
  </si>
  <si>
    <t>Power Factor</t>
  </si>
  <si>
    <t>Type of Consumer / Premises</t>
  </si>
  <si>
    <t>Typical Range (kVA)</t>
  </si>
  <si>
    <t>Modelling Sweet Spot</t>
  </si>
  <si>
    <t>Opening Balance</t>
  </si>
  <si>
    <t>Contract Demand</t>
  </si>
  <si>
    <t>KVA</t>
  </si>
  <si>
    <t>Small HT domestic consumer (large bungalow / small apartment block)</t>
  </si>
  <si>
    <t>10 – 20 kVA</t>
  </si>
  <si>
    <t>10 kVA</t>
  </si>
  <si>
    <t>Max Demand</t>
  </si>
  <si>
    <t>Large apartment block (single HT connection)</t>
  </si>
  <si>
    <t>20 – 40 kVA</t>
  </si>
  <si>
    <t>30 kVA</t>
  </si>
  <si>
    <t>STEP2:</t>
  </si>
  <si>
    <t>Calculate Fixed Charges</t>
  </si>
  <si>
    <t>Group housing / staff quarters</t>
  </si>
  <si>
    <t>40 – 75 kVA</t>
  </si>
  <si>
    <t>60 kVA</t>
  </si>
  <si>
    <t>Demand Charge ( revised)</t>
  </si>
  <si>
    <t>High-end residential complex</t>
  </si>
  <si>
    <t>75 – 150 kVA</t>
  </si>
  <si>
    <t>100 kVA</t>
  </si>
  <si>
    <t>Adjusted Fixed Charges for month</t>
  </si>
  <si>
    <t>// Existing Fixed Charges * Bill Factor//</t>
  </si>
  <si>
    <t>Multi-tower residential society</t>
  </si>
  <si>
    <t>150 – 300 kVA</t>
  </si>
  <si>
    <t>200 kVA</t>
  </si>
  <si>
    <t>Daily Fixed Charges</t>
  </si>
  <si>
    <t>// Adjustment Fixed Charges /Bill Days//</t>
  </si>
  <si>
    <t>Revised Daily Fixed Charges</t>
  </si>
  <si>
    <t>Large residential campus</t>
  </si>
  <si>
    <t>300 – 500 kVA</t>
  </si>
  <si>
    <t>350 kVA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</si>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</sst>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6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6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/>
    <xf numFmtId="2" fontId="0" fillId="6" borderId="6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3" fontId="0" fillId="0" borderId="0" xfId="0" applyNumberFormat="1"/>
    <xf numFmtId="9" fontId="0" fillId="7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6" borderId="0" xfId="1" applyNumberFormat="1" applyFont="1" applyFill="1" applyAlignment="1">
      <alignment horizontal="center"/>
    </xf>
    <xf numFmtId="2" fontId="0" fillId="6" borderId="0" xfId="1" applyNumberFormat="1" applyFont="1" applyFill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A31D-E62C-4E8C-8A1D-B8AC6BC0AE87}">
  <sheetPr>
    <tabColor rgb="FF00B0F0"/>
  </sheetPr>
  <dimension ref="B1:R128"/>
  <sheetViews>
    <sheetView showGridLines="0" tabSelected="1" topLeftCell="A2" zoomScaleNormal="100" workbookViewId="0">
      <selection activeCell="O106" sqref="O106"/>
    </sheetView>
  </sheetViews>
  <sheetFormatPr defaultRowHeight="16.2" customHeight="1" x14ac:dyDescent="0.3"/>
  <cols>
    <col min="2" max="2" width="28" customWidth="1"/>
    <col min="3" max="3" width="28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2.33203125" customWidth="1"/>
    <col min="14" max="14" width="14.109375" customWidth="1"/>
    <col min="15" max="15" width="25.88671875" customWidth="1"/>
    <col min="16" max="16" width="17.109375" customWidth="1"/>
    <col min="17" max="17" width="29.33203125" customWidth="1"/>
    <col min="18" max="18" width="51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69" t="s">
        <v>2</v>
      </c>
      <c r="D2" s="69"/>
      <c r="E2" s="69"/>
      <c r="F2" s="69"/>
      <c r="G2" s="69"/>
      <c r="H2" s="69"/>
      <c r="I2" s="69"/>
      <c r="J2" s="69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8.65</v>
      </c>
      <c r="F6" s="9" t="s">
        <v>6</v>
      </c>
      <c r="G6" s="9"/>
      <c r="H6" s="9"/>
      <c r="I6" s="9"/>
      <c r="J6" s="10"/>
    </row>
    <row r="7" spans="2:18" ht="16.2" customHeight="1" x14ac:dyDescent="0.3">
      <c r="C7" s="6"/>
      <c r="D7" s="7"/>
      <c r="E7" s="9"/>
      <c r="F7" s="9"/>
      <c r="G7" s="9"/>
      <c r="H7" s="9"/>
      <c r="I7" s="9"/>
      <c r="J7" s="10"/>
    </row>
    <row r="8" spans="2:18" ht="16.2" customHeight="1" x14ac:dyDescent="0.3">
      <c r="C8" s="11" t="s">
        <v>7</v>
      </c>
      <c r="D8" s="9"/>
      <c r="E8" s="8">
        <v>50</v>
      </c>
      <c r="F8" s="9" t="s">
        <v>8</v>
      </c>
      <c r="G8" s="9"/>
      <c r="H8" s="9"/>
      <c r="I8" s="9"/>
      <c r="J8" s="10"/>
    </row>
    <row r="9" spans="2:18" ht="16.2" customHeight="1" x14ac:dyDescent="0.3">
      <c r="P9" s="12"/>
      <c r="Q9" s="12"/>
      <c r="R9" s="12"/>
    </row>
    <row r="10" spans="2:18" ht="16.2" customHeight="1" x14ac:dyDescent="0.3">
      <c r="P10" s="13"/>
      <c r="Q10" s="14"/>
      <c r="R10" s="13"/>
    </row>
    <row r="11" spans="2:18" ht="16.2" customHeight="1" x14ac:dyDescent="0.3">
      <c r="B11" s="1" t="s">
        <v>9</v>
      </c>
      <c r="C11" s="1"/>
      <c r="D11" s="15"/>
      <c r="P11" s="13"/>
      <c r="Q11" s="14"/>
      <c r="R11" s="13"/>
    </row>
    <row r="12" spans="2:18" ht="16.2" customHeight="1" x14ac:dyDescent="0.3">
      <c r="B12" s="16" t="s">
        <v>10</v>
      </c>
      <c r="C12" s="1" t="s">
        <v>11</v>
      </c>
      <c r="D12" s="15"/>
      <c r="P12" s="13"/>
      <c r="Q12" s="14"/>
      <c r="R12" s="13"/>
    </row>
    <row r="13" spans="2:18" ht="16.2" customHeight="1" x14ac:dyDescent="0.3">
      <c r="C13" t="s">
        <v>12</v>
      </c>
      <c r="D13" s="17" t="s">
        <v>13</v>
      </c>
      <c r="E13" t="s">
        <v>14</v>
      </c>
      <c r="P13" s="18" t="s">
        <v>15</v>
      </c>
      <c r="Q13" s="18" t="s">
        <v>16</v>
      </c>
      <c r="R13" s="18" t="s">
        <v>17</v>
      </c>
    </row>
    <row r="14" spans="2:18" ht="16.2" customHeight="1" x14ac:dyDescent="0.3">
      <c r="C14" t="s">
        <v>18</v>
      </c>
      <c r="D14" s="19">
        <v>10</v>
      </c>
      <c r="E14" t="s">
        <v>19</v>
      </c>
      <c r="P14" s="20" t="s">
        <v>20</v>
      </c>
      <c r="Q14" s="21" t="s">
        <v>21</v>
      </c>
      <c r="R14" s="20" t="s">
        <v>22</v>
      </c>
    </row>
    <row r="15" spans="2:18" ht="16.2" customHeight="1" x14ac:dyDescent="0.3">
      <c r="C15" t="s">
        <v>23</v>
      </c>
      <c r="D15" s="22">
        <v>46005</v>
      </c>
      <c r="E15" t="s">
        <v>24</v>
      </c>
      <c r="P15" s="20" t="s">
        <v>25</v>
      </c>
      <c r="Q15" s="21" t="s">
        <v>26</v>
      </c>
      <c r="R15" s="20" t="s">
        <v>27</v>
      </c>
    </row>
    <row r="16" spans="2:18" ht="16.2" customHeight="1" x14ac:dyDescent="0.3">
      <c r="C16" t="s">
        <v>28</v>
      </c>
      <c r="D16" s="19">
        <v>1</v>
      </c>
      <c r="P16" s="20" t="s">
        <v>29</v>
      </c>
      <c r="Q16" s="21" t="s">
        <v>30</v>
      </c>
      <c r="R16" s="20" t="s">
        <v>31</v>
      </c>
    </row>
    <row r="17" spans="2:18" ht="14.4" x14ac:dyDescent="0.3">
      <c r="C17" t="s">
        <v>32</v>
      </c>
      <c r="D17" s="17">
        <f>DAY(EOMONTH(D15,0))</f>
        <v>31</v>
      </c>
      <c r="E17" t="s">
        <v>33</v>
      </c>
      <c r="P17" s="20" t="s">
        <v>34</v>
      </c>
      <c r="Q17" s="21" t="s">
        <v>35</v>
      </c>
      <c r="R17" s="20" t="s">
        <v>36</v>
      </c>
    </row>
    <row r="18" spans="2:18" ht="14.4" x14ac:dyDescent="0.3">
      <c r="C18" t="s">
        <v>37</v>
      </c>
      <c r="D18" s="23">
        <f>EOMONTH(D15,0)</f>
        <v>46022</v>
      </c>
      <c r="P18" t="s">
        <v>38</v>
      </c>
      <c r="Q18" s="24" t="s">
        <v>39</v>
      </c>
      <c r="R18" t="s">
        <v>40</v>
      </c>
    </row>
    <row r="19" spans="2:18" ht="16.2" customHeight="1" x14ac:dyDescent="0.3">
      <c r="C19" t="s">
        <v>41</v>
      </c>
      <c r="D19">
        <f>D18-D15+1</f>
        <v>18</v>
      </c>
      <c r="E19" t="s">
        <v>42</v>
      </c>
      <c r="Q19" s="24"/>
    </row>
    <row r="20" spans="2:18" ht="16.2" customHeight="1" x14ac:dyDescent="0.3">
      <c r="C20" t="s">
        <v>43</v>
      </c>
      <c r="D20" s="25">
        <f>ROUNDUP(D19/D17,4)</f>
        <v>0.58069999999999999</v>
      </c>
      <c r="Q20" s="24"/>
    </row>
    <row r="21" spans="2:18" ht="16.2" customHeight="1" x14ac:dyDescent="0.3">
      <c r="C21" t="s">
        <v>44</v>
      </c>
      <c r="D21" s="19">
        <v>0.99</v>
      </c>
      <c r="P21" s="18" t="s">
        <v>45</v>
      </c>
      <c r="Q21" s="18" t="s">
        <v>46</v>
      </c>
      <c r="R21" s="18" t="s">
        <v>47</v>
      </c>
    </row>
    <row r="22" spans="2:18" ht="16.2" customHeight="1" x14ac:dyDescent="0.3">
      <c r="C22" t="s">
        <v>48</v>
      </c>
      <c r="D22" s="26">
        <v>10000</v>
      </c>
      <c r="I22" s="27"/>
      <c r="J22" s="28" t="s">
        <v>49</v>
      </c>
      <c r="K22" s="29">
        <f>D14</f>
        <v>10</v>
      </c>
      <c r="L22" s="30" t="s">
        <v>50</v>
      </c>
      <c r="P22" s="20" t="s">
        <v>51</v>
      </c>
      <c r="Q22" s="21" t="s">
        <v>52</v>
      </c>
      <c r="R22" s="21" t="s">
        <v>53</v>
      </c>
    </row>
    <row r="23" spans="2:18" ht="16.2" customHeight="1" x14ac:dyDescent="0.3">
      <c r="I23" s="31"/>
      <c r="J23" s="17" t="s">
        <v>54</v>
      </c>
      <c r="K23" s="24">
        <f>MAX(F33:F63)</f>
        <v>18</v>
      </c>
      <c r="L23" s="32" t="s">
        <v>50</v>
      </c>
      <c r="P23" s="20" t="s">
        <v>55</v>
      </c>
      <c r="Q23" s="21" t="s">
        <v>56</v>
      </c>
      <c r="R23" s="21" t="s">
        <v>57</v>
      </c>
    </row>
    <row r="24" spans="2:18" ht="16.2" customHeight="1" x14ac:dyDescent="0.3">
      <c r="B24" s="16" t="s">
        <v>58</v>
      </c>
      <c r="C24" s="1" t="s">
        <v>59</v>
      </c>
      <c r="D24" s="15"/>
      <c r="I24" s="31"/>
      <c r="L24" s="32"/>
      <c r="P24" s="20" t="s">
        <v>60</v>
      </c>
      <c r="Q24" s="21" t="s">
        <v>61</v>
      </c>
      <c r="R24" s="21" t="s">
        <v>62</v>
      </c>
    </row>
    <row r="25" spans="2:18" ht="16.2" customHeight="1" x14ac:dyDescent="0.3">
      <c r="D25" s="17" t="s">
        <v>7</v>
      </c>
      <c r="E25" s="33">
        <f>E8*D14</f>
        <v>500</v>
      </c>
      <c r="I25" s="31"/>
      <c r="J25" s="17" t="s">
        <v>63</v>
      </c>
      <c r="K25" s="34">
        <f>MAX(K22,K23)*E8</f>
        <v>900</v>
      </c>
      <c r="L25" s="32"/>
      <c r="P25" s="20" t="s">
        <v>64</v>
      </c>
      <c r="Q25" s="21" t="s">
        <v>65</v>
      </c>
      <c r="R25" s="21" t="s">
        <v>66</v>
      </c>
    </row>
    <row r="26" spans="2:18" ht="16.2" customHeight="1" x14ac:dyDescent="0.3">
      <c r="D26" s="17" t="s">
        <v>67</v>
      </c>
      <c r="E26" s="33">
        <f>E25*D20</f>
        <v>290.35000000000002</v>
      </c>
      <c r="F26" t="s">
        <v>68</v>
      </c>
      <c r="I26" s="31"/>
      <c r="J26" s="17" t="s">
        <v>67</v>
      </c>
      <c r="K26" s="34">
        <f>K25*D20</f>
        <v>522.63</v>
      </c>
      <c r="L26" s="32"/>
      <c r="P26" s="20" t="s">
        <v>69</v>
      </c>
      <c r="Q26" s="21" t="s">
        <v>70</v>
      </c>
      <c r="R26" s="21" t="s">
        <v>71</v>
      </c>
    </row>
    <row r="27" spans="2:18" ht="16.2" customHeight="1" x14ac:dyDescent="0.3">
      <c r="D27" s="17" t="s">
        <v>72</v>
      </c>
      <c r="E27" s="33">
        <f>ROUNDUP(E26/D19,4)</f>
        <v>16.130600000000001</v>
      </c>
      <c r="F27" t="s">
        <v>73</v>
      </c>
      <c r="I27" s="31"/>
      <c r="J27" s="17" t="s">
        <v>74</v>
      </c>
      <c r="K27" s="34">
        <f>K26/D19</f>
        <v>29.035</v>
      </c>
      <c r="L27" s="32"/>
      <c r="P27" s="20" t="s">
        <v>75</v>
      </c>
      <c r="Q27" s="21" t="s">
        <v>76</v>
      </c>
      <c r="R27" s="21" t="s">
        <v>77</v>
      </c>
    </row>
    <row r="28" spans="2:18" ht="16.2" customHeight="1" x14ac:dyDescent="0.3">
      <c r="I28" s="35"/>
      <c r="J28" s="36"/>
      <c r="K28" s="36"/>
      <c r="L28" s="37"/>
    </row>
    <row r="30" spans="2:18" ht="16.2" customHeight="1" x14ac:dyDescent="0.3">
      <c r="B30" s="16" t="s">
        <v>78</v>
      </c>
      <c r="C30" s="1" t="s">
        <v>79</v>
      </c>
      <c r="D30" s="15"/>
    </row>
    <row r="32" spans="2:18" ht="34.200000000000003" customHeight="1" x14ac:dyDescent="0.3">
      <c r="C32" s="38" t="s">
        <v>24</v>
      </c>
      <c r="D32" s="39" t="s">
        <v>80</v>
      </c>
      <c r="E32" s="39" t="s">
        <v>81</v>
      </c>
      <c r="F32" s="39" t="s">
        <v>82</v>
      </c>
      <c r="G32" s="39" t="s">
        <v>83</v>
      </c>
      <c r="H32" s="40"/>
      <c r="K32" s="34"/>
    </row>
    <row r="33" spans="3:9" ht="16.2" customHeight="1" x14ac:dyDescent="0.3">
      <c r="C33" s="41">
        <f>EOMONTH(D15,-1)+1</f>
        <v>45992</v>
      </c>
      <c r="D33" s="42">
        <f>IF(C33&lt;$D$15,"0.00",INDEX($G$33:$G$63,MATCH(C33,$C$33:$C$63,0)))*$D$16</f>
        <v>0</v>
      </c>
      <c r="E33" s="42">
        <f t="shared" ref="E33:E63" si="0">D33/$D$21</f>
        <v>0</v>
      </c>
      <c r="F33" s="42"/>
      <c r="G33" s="42">
        <v>68</v>
      </c>
      <c r="H33" s="43"/>
      <c r="I33" s="44"/>
    </row>
    <row r="34" spans="3:9" ht="16.2" customHeight="1" x14ac:dyDescent="0.3">
      <c r="C34" s="41">
        <f>C33+1</f>
        <v>45993</v>
      </c>
      <c r="D34" s="42">
        <f t="shared" ref="D34:D63" si="1">IF(C34&lt;$D$15,"0.00",INDEX($G$33:$G$63,MATCH(C34,$C$33:$C$63,0)))*$D$16</f>
        <v>0</v>
      </c>
      <c r="E34" s="42">
        <f t="shared" si="0"/>
        <v>0</v>
      </c>
      <c r="F34" s="42"/>
      <c r="G34" s="42">
        <v>69</v>
      </c>
      <c r="H34" s="43"/>
      <c r="I34" s="44"/>
    </row>
    <row r="35" spans="3:9" ht="16.2" customHeight="1" x14ac:dyDescent="0.3">
      <c r="C35" s="41">
        <f t="shared" ref="C35:C63" si="2">C34+1</f>
        <v>45994</v>
      </c>
      <c r="D35" s="42">
        <f t="shared" si="1"/>
        <v>0</v>
      </c>
      <c r="E35" s="42">
        <f t="shared" si="0"/>
        <v>0</v>
      </c>
      <c r="F35" s="42">
        <v>8</v>
      </c>
      <c r="G35" s="42">
        <v>70</v>
      </c>
      <c r="H35" s="43"/>
      <c r="I35" s="44"/>
    </row>
    <row r="36" spans="3:9" ht="16.2" customHeight="1" x14ac:dyDescent="0.3">
      <c r="C36" s="41">
        <f t="shared" si="2"/>
        <v>45995</v>
      </c>
      <c r="D36" s="42">
        <f t="shared" si="1"/>
        <v>0</v>
      </c>
      <c r="E36" s="42">
        <f t="shared" si="0"/>
        <v>0</v>
      </c>
      <c r="F36" s="42"/>
      <c r="G36" s="42">
        <v>68</v>
      </c>
      <c r="H36" s="43"/>
      <c r="I36" s="44"/>
    </row>
    <row r="37" spans="3:9" ht="16.2" customHeight="1" x14ac:dyDescent="0.3">
      <c r="C37" s="41">
        <f t="shared" si="2"/>
        <v>45996</v>
      </c>
      <c r="D37" s="42">
        <f t="shared" si="1"/>
        <v>0</v>
      </c>
      <c r="E37" s="42">
        <f t="shared" si="0"/>
        <v>0</v>
      </c>
      <c r="F37" s="42"/>
      <c r="G37" s="42">
        <v>71</v>
      </c>
      <c r="H37" s="43"/>
      <c r="I37" s="44"/>
    </row>
    <row r="38" spans="3:9" ht="16.2" customHeight="1" x14ac:dyDescent="0.3">
      <c r="C38" s="41">
        <f t="shared" si="2"/>
        <v>45997</v>
      </c>
      <c r="D38" s="42">
        <f t="shared" si="1"/>
        <v>0</v>
      </c>
      <c r="E38" s="42">
        <f t="shared" si="0"/>
        <v>0</v>
      </c>
      <c r="F38" s="42"/>
      <c r="G38" s="42">
        <v>72</v>
      </c>
      <c r="H38" s="43"/>
      <c r="I38" s="44"/>
    </row>
    <row r="39" spans="3:9" ht="16.2" customHeight="1" x14ac:dyDescent="0.3">
      <c r="C39" s="41">
        <f t="shared" si="2"/>
        <v>45998</v>
      </c>
      <c r="D39" s="42">
        <f t="shared" si="1"/>
        <v>0</v>
      </c>
      <c r="E39" s="42">
        <f t="shared" si="0"/>
        <v>0</v>
      </c>
      <c r="F39" s="42"/>
      <c r="G39" s="42">
        <v>70</v>
      </c>
      <c r="H39" s="43"/>
      <c r="I39" s="44"/>
    </row>
    <row r="40" spans="3:9" ht="16.2" customHeight="1" x14ac:dyDescent="0.3">
      <c r="C40" s="41">
        <f t="shared" si="2"/>
        <v>45999</v>
      </c>
      <c r="D40" s="42">
        <f t="shared" si="1"/>
        <v>0</v>
      </c>
      <c r="E40" s="42">
        <f t="shared" si="0"/>
        <v>0</v>
      </c>
      <c r="F40" s="42"/>
      <c r="G40" s="42">
        <v>68</v>
      </c>
      <c r="H40" s="43"/>
      <c r="I40" s="44"/>
    </row>
    <row r="41" spans="3:9" ht="16.2" customHeight="1" x14ac:dyDescent="0.3">
      <c r="C41" s="41">
        <f t="shared" si="2"/>
        <v>46000</v>
      </c>
      <c r="D41" s="42">
        <f t="shared" si="1"/>
        <v>0</v>
      </c>
      <c r="E41" s="42">
        <f t="shared" si="0"/>
        <v>0</v>
      </c>
      <c r="F41" s="42">
        <v>7</v>
      </c>
      <c r="G41" s="42">
        <v>69</v>
      </c>
      <c r="H41" s="43"/>
      <c r="I41" s="44"/>
    </row>
    <row r="42" spans="3:9" ht="16.2" customHeight="1" x14ac:dyDescent="0.3">
      <c r="C42" s="41">
        <f t="shared" si="2"/>
        <v>46001</v>
      </c>
      <c r="D42" s="42">
        <f t="shared" si="1"/>
        <v>0</v>
      </c>
      <c r="E42" s="42">
        <f t="shared" si="0"/>
        <v>0</v>
      </c>
      <c r="F42" s="42"/>
      <c r="G42" s="42">
        <v>68</v>
      </c>
      <c r="H42" s="43"/>
      <c r="I42" s="44"/>
    </row>
    <row r="43" spans="3:9" ht="16.2" customHeight="1" x14ac:dyDescent="0.3">
      <c r="C43" s="41">
        <f t="shared" si="2"/>
        <v>46002</v>
      </c>
      <c r="D43" s="42">
        <f t="shared" si="1"/>
        <v>0</v>
      </c>
      <c r="E43" s="42">
        <f t="shared" si="0"/>
        <v>0</v>
      </c>
      <c r="F43" s="42"/>
      <c r="G43" s="42">
        <v>72</v>
      </c>
      <c r="H43" s="43"/>
      <c r="I43" s="44"/>
    </row>
    <row r="44" spans="3:9" ht="16.2" customHeight="1" x14ac:dyDescent="0.3">
      <c r="C44" s="41">
        <f t="shared" si="2"/>
        <v>46003</v>
      </c>
      <c r="D44" s="42">
        <f t="shared" si="1"/>
        <v>0</v>
      </c>
      <c r="E44" s="42">
        <f t="shared" si="0"/>
        <v>0</v>
      </c>
      <c r="F44" s="42"/>
      <c r="G44" s="42">
        <v>68</v>
      </c>
      <c r="H44" s="43"/>
      <c r="I44" s="44"/>
    </row>
    <row r="45" spans="3:9" ht="16.2" customHeight="1" x14ac:dyDescent="0.3">
      <c r="C45" s="41">
        <f t="shared" si="2"/>
        <v>46004</v>
      </c>
      <c r="D45" s="42">
        <f t="shared" si="1"/>
        <v>0</v>
      </c>
      <c r="E45" s="42">
        <f t="shared" si="0"/>
        <v>0</v>
      </c>
      <c r="F45" s="42"/>
      <c r="G45" s="42">
        <v>69</v>
      </c>
      <c r="H45" s="43"/>
      <c r="I45" s="44"/>
    </row>
    <row r="46" spans="3:9" ht="16.2" customHeight="1" x14ac:dyDescent="0.3">
      <c r="C46" s="41">
        <f t="shared" si="2"/>
        <v>46005</v>
      </c>
      <c r="D46" s="42">
        <f t="shared" si="1"/>
        <v>70</v>
      </c>
      <c r="E46" s="42">
        <f t="shared" si="0"/>
        <v>70.707070707070713</v>
      </c>
      <c r="F46" s="42"/>
      <c r="G46" s="42">
        <v>70</v>
      </c>
      <c r="H46" s="43"/>
      <c r="I46" s="44"/>
    </row>
    <row r="47" spans="3:9" ht="16.2" customHeight="1" x14ac:dyDescent="0.3">
      <c r="C47" s="41">
        <f t="shared" si="2"/>
        <v>46006</v>
      </c>
      <c r="D47" s="42">
        <f t="shared" si="1"/>
        <v>68</v>
      </c>
      <c r="E47" s="42">
        <f t="shared" si="0"/>
        <v>68.686868686868692</v>
      </c>
      <c r="F47" s="42"/>
      <c r="G47" s="42">
        <v>68</v>
      </c>
      <c r="H47" s="43"/>
      <c r="I47" s="44"/>
    </row>
    <row r="48" spans="3:9" ht="16.2" customHeight="1" x14ac:dyDescent="0.3">
      <c r="C48" s="41">
        <f t="shared" si="2"/>
        <v>46007</v>
      </c>
      <c r="D48" s="42">
        <f t="shared" si="1"/>
        <v>73</v>
      </c>
      <c r="E48" s="42">
        <f t="shared" si="0"/>
        <v>73.737373737373744</v>
      </c>
      <c r="F48" s="42"/>
      <c r="G48" s="42">
        <v>73</v>
      </c>
      <c r="H48" s="43"/>
      <c r="I48" s="44"/>
    </row>
    <row r="49" spans="3:10" ht="16.2" customHeight="1" x14ac:dyDescent="0.3">
      <c r="C49" s="41">
        <f t="shared" si="2"/>
        <v>46008</v>
      </c>
      <c r="D49" s="42">
        <f t="shared" si="1"/>
        <v>68</v>
      </c>
      <c r="E49" s="42">
        <f t="shared" si="0"/>
        <v>68.686868686868692</v>
      </c>
      <c r="F49" s="42"/>
      <c r="G49" s="42">
        <v>68</v>
      </c>
      <c r="H49" s="43"/>
      <c r="I49" s="44"/>
    </row>
    <row r="50" spans="3:10" ht="16.2" customHeight="1" x14ac:dyDescent="0.3">
      <c r="C50" s="41">
        <f t="shared" si="2"/>
        <v>46009</v>
      </c>
      <c r="D50" s="42">
        <f t="shared" si="1"/>
        <v>69</v>
      </c>
      <c r="E50" s="42">
        <f t="shared" si="0"/>
        <v>69.696969696969703</v>
      </c>
      <c r="F50" s="45">
        <v>18</v>
      </c>
      <c r="G50" s="42">
        <v>69</v>
      </c>
      <c r="H50" s="43"/>
      <c r="I50" s="44"/>
    </row>
    <row r="51" spans="3:10" ht="16.2" customHeight="1" x14ac:dyDescent="0.3">
      <c r="C51" s="41">
        <f t="shared" si="2"/>
        <v>46010</v>
      </c>
      <c r="D51" s="42">
        <f t="shared" si="1"/>
        <v>68</v>
      </c>
      <c r="E51" s="42">
        <f t="shared" si="0"/>
        <v>68.686868686868692</v>
      </c>
      <c r="F51" s="42"/>
      <c r="G51" s="42">
        <v>68</v>
      </c>
      <c r="H51" s="43"/>
      <c r="I51" s="44"/>
    </row>
    <row r="52" spans="3:10" ht="16.2" customHeight="1" x14ac:dyDescent="0.3">
      <c r="C52" s="41">
        <f t="shared" si="2"/>
        <v>46011</v>
      </c>
      <c r="D52" s="42">
        <f t="shared" si="1"/>
        <v>71</v>
      </c>
      <c r="E52" s="42">
        <f t="shared" si="0"/>
        <v>71.717171717171723</v>
      </c>
      <c r="F52" s="42"/>
      <c r="G52" s="42">
        <v>71</v>
      </c>
      <c r="H52" s="43"/>
      <c r="I52" s="44"/>
    </row>
    <row r="53" spans="3:10" ht="16.2" customHeight="1" x14ac:dyDescent="0.3">
      <c r="C53" s="41">
        <f t="shared" si="2"/>
        <v>46012</v>
      </c>
      <c r="D53" s="42">
        <f t="shared" si="1"/>
        <v>72</v>
      </c>
      <c r="E53" s="42">
        <f t="shared" si="0"/>
        <v>72.727272727272734</v>
      </c>
      <c r="F53" s="42"/>
      <c r="G53" s="42">
        <v>72</v>
      </c>
      <c r="H53" s="43"/>
      <c r="I53" s="44"/>
    </row>
    <row r="54" spans="3:10" ht="16.2" customHeight="1" x14ac:dyDescent="0.3">
      <c r="C54" s="41">
        <f t="shared" si="2"/>
        <v>46013</v>
      </c>
      <c r="D54" s="42">
        <f t="shared" si="1"/>
        <v>68</v>
      </c>
      <c r="E54" s="42">
        <f t="shared" si="0"/>
        <v>68.686868686868692</v>
      </c>
      <c r="F54" s="42"/>
      <c r="G54" s="42">
        <v>68</v>
      </c>
      <c r="H54" s="43"/>
      <c r="I54" s="44"/>
    </row>
    <row r="55" spans="3:10" ht="16.2" customHeight="1" x14ac:dyDescent="0.3">
      <c r="C55" s="41">
        <f t="shared" si="2"/>
        <v>46014</v>
      </c>
      <c r="D55" s="42">
        <f t="shared" si="1"/>
        <v>69</v>
      </c>
      <c r="E55" s="42">
        <f t="shared" si="0"/>
        <v>69.696969696969703</v>
      </c>
      <c r="F55" s="42"/>
      <c r="G55" s="42">
        <v>69</v>
      </c>
      <c r="H55" s="43"/>
      <c r="I55" s="44"/>
    </row>
    <row r="56" spans="3:10" ht="16.2" customHeight="1" x14ac:dyDescent="0.3">
      <c r="C56" s="41">
        <f t="shared" si="2"/>
        <v>46015</v>
      </c>
      <c r="D56" s="42">
        <f t="shared" si="1"/>
        <v>74</v>
      </c>
      <c r="E56" s="42">
        <f t="shared" si="0"/>
        <v>74.747474747474755</v>
      </c>
      <c r="F56" s="42"/>
      <c r="G56" s="42">
        <v>74</v>
      </c>
      <c r="H56" s="43"/>
      <c r="I56" s="44"/>
    </row>
    <row r="57" spans="3:10" ht="16.2" customHeight="1" x14ac:dyDescent="0.3">
      <c r="C57" s="41">
        <f t="shared" si="2"/>
        <v>46016</v>
      </c>
      <c r="D57" s="42">
        <f t="shared" si="1"/>
        <v>76</v>
      </c>
      <c r="E57" s="42">
        <f t="shared" si="0"/>
        <v>76.767676767676775</v>
      </c>
      <c r="F57" s="42"/>
      <c r="G57" s="42">
        <v>76</v>
      </c>
      <c r="H57" s="43"/>
      <c r="I57" s="44"/>
    </row>
    <row r="58" spans="3:10" ht="16.2" customHeight="1" x14ac:dyDescent="0.3">
      <c r="C58" s="41">
        <f t="shared" si="2"/>
        <v>46017</v>
      </c>
      <c r="D58" s="42">
        <f t="shared" si="1"/>
        <v>68</v>
      </c>
      <c r="E58" s="42">
        <f t="shared" si="0"/>
        <v>68.686868686868692</v>
      </c>
      <c r="F58" s="42"/>
      <c r="G58" s="42">
        <v>68</v>
      </c>
      <c r="H58" s="43"/>
      <c r="I58" s="44"/>
    </row>
    <row r="59" spans="3:10" ht="16.2" customHeight="1" x14ac:dyDescent="0.3">
      <c r="C59" s="41">
        <f t="shared" si="2"/>
        <v>46018</v>
      </c>
      <c r="D59" s="42">
        <f t="shared" si="1"/>
        <v>67</v>
      </c>
      <c r="E59" s="42">
        <f t="shared" si="0"/>
        <v>67.676767676767682</v>
      </c>
      <c r="F59" s="42"/>
      <c r="G59" s="42">
        <v>67</v>
      </c>
      <c r="H59" s="43"/>
      <c r="I59" s="44"/>
    </row>
    <row r="60" spans="3:10" ht="16.2" customHeight="1" x14ac:dyDescent="0.3">
      <c r="C60" s="41">
        <f t="shared" si="2"/>
        <v>46019</v>
      </c>
      <c r="D60" s="42">
        <f t="shared" si="1"/>
        <v>69</v>
      </c>
      <c r="E60" s="42">
        <f t="shared" si="0"/>
        <v>69.696969696969703</v>
      </c>
      <c r="F60" s="42"/>
      <c r="G60" s="42">
        <v>69</v>
      </c>
      <c r="H60" s="43"/>
      <c r="I60" s="44"/>
    </row>
    <row r="61" spans="3:10" ht="16.2" customHeight="1" x14ac:dyDescent="0.3">
      <c r="C61" s="41">
        <f t="shared" si="2"/>
        <v>46020</v>
      </c>
      <c r="D61" s="42">
        <f t="shared" si="1"/>
        <v>68</v>
      </c>
      <c r="E61" s="42">
        <f t="shared" si="0"/>
        <v>68.686868686868692</v>
      </c>
      <c r="F61" s="42"/>
      <c r="G61" s="42">
        <v>68</v>
      </c>
      <c r="H61" s="43"/>
      <c r="I61" s="44"/>
    </row>
    <row r="62" spans="3:10" ht="16.2" customHeight="1" x14ac:dyDescent="0.3">
      <c r="C62" s="41">
        <f t="shared" si="2"/>
        <v>46021</v>
      </c>
      <c r="D62" s="42">
        <f t="shared" si="1"/>
        <v>69</v>
      </c>
      <c r="E62" s="42">
        <f t="shared" si="0"/>
        <v>69.696969696969703</v>
      </c>
      <c r="F62" s="42"/>
      <c r="G62" s="42">
        <v>69</v>
      </c>
      <c r="H62" s="43"/>
      <c r="I62" s="44"/>
    </row>
    <row r="63" spans="3:10" ht="16.2" customHeight="1" x14ac:dyDescent="0.3">
      <c r="C63" s="41">
        <f t="shared" si="2"/>
        <v>46022</v>
      </c>
      <c r="D63" s="42">
        <f t="shared" si="1"/>
        <v>72</v>
      </c>
      <c r="E63" s="42">
        <f t="shared" si="0"/>
        <v>72.727272727272734</v>
      </c>
      <c r="F63" s="42"/>
      <c r="G63" s="42">
        <v>72</v>
      </c>
      <c r="H63" s="43"/>
      <c r="I63" s="44"/>
    </row>
    <row r="64" spans="3:10" ht="16.2" customHeight="1" x14ac:dyDescent="0.3">
      <c r="C64" s="46"/>
      <c r="D64" s="47">
        <f>SUM(D33:D63)</f>
        <v>1259</v>
      </c>
      <c r="E64" s="47">
        <f>SUM(E33:E63)</f>
        <v>1271.7171717171718</v>
      </c>
      <c r="F64" s="47">
        <f>MAX(F33:F63)</f>
        <v>18</v>
      </c>
      <c r="G64" s="47">
        <f>SUM(G33:G63)</f>
        <v>2161</v>
      </c>
      <c r="H64" s="48"/>
      <c r="J64" s="49"/>
    </row>
    <row r="65" spans="2:16" ht="16.2" customHeight="1" x14ac:dyDescent="0.3">
      <c r="C65" s="46"/>
    </row>
    <row r="66" spans="2:16" ht="16.2" customHeight="1" x14ac:dyDescent="0.3">
      <c r="C66" s="46"/>
    </row>
    <row r="67" spans="2:16" ht="16.2" customHeight="1" x14ac:dyDescent="0.3">
      <c r="B67" s="1" t="s">
        <v>84</v>
      </c>
      <c r="C67" s="46"/>
      <c r="J67" s="50">
        <v>0.02</v>
      </c>
      <c r="P67" s="51"/>
    </row>
    <row r="68" spans="2:16" ht="38.4" customHeight="1" x14ac:dyDescent="0.3">
      <c r="C68" s="52" t="s">
        <v>24</v>
      </c>
      <c r="D68" s="53" t="s">
        <v>85</v>
      </c>
      <c r="E68" s="53" t="s">
        <v>86</v>
      </c>
      <c r="F68" s="53" t="s">
        <v>87</v>
      </c>
      <c r="G68" s="53" t="s">
        <v>88</v>
      </c>
      <c r="H68" s="53" t="s">
        <v>89</v>
      </c>
      <c r="I68" s="53" t="s">
        <v>90</v>
      </c>
      <c r="J68" s="53" t="s">
        <v>91</v>
      </c>
      <c r="K68" s="53" t="s">
        <v>92</v>
      </c>
      <c r="L68" s="53" t="s">
        <v>93</v>
      </c>
      <c r="M68" s="53" t="s">
        <v>94</v>
      </c>
      <c r="N68" s="54"/>
      <c r="O68" s="53" t="s">
        <v>95</v>
      </c>
      <c r="P68" s="53" t="s">
        <v>96</v>
      </c>
    </row>
    <row r="69" spans="2:16" ht="66" customHeight="1" x14ac:dyDescent="0.3">
      <c r="C69" s="55"/>
      <c r="D69" s="56"/>
      <c r="E69" s="56"/>
      <c r="F69" s="56"/>
      <c r="G69" s="57" t="s">
        <v>97</v>
      </c>
      <c r="H69" s="57" t="s">
        <v>98</v>
      </c>
      <c r="I69" s="57" t="s">
        <v>99</v>
      </c>
      <c r="J69" s="57" t="s">
        <v>100</v>
      </c>
      <c r="K69" s="58" t="s">
        <v>101</v>
      </c>
      <c r="L69" s="58"/>
      <c r="M69" s="59">
        <f>D22</f>
        <v>10000</v>
      </c>
      <c r="N69" s="54"/>
      <c r="O69" s="57" t="s">
        <v>102</v>
      </c>
      <c r="P69" s="57"/>
    </row>
    <row r="70" spans="2:16" ht="16.2" customHeight="1" x14ac:dyDescent="0.3">
      <c r="C70" s="46">
        <f>C33</f>
        <v>45992</v>
      </c>
      <c r="D70" s="60">
        <v>0</v>
      </c>
      <c r="E70" s="60">
        <f>E33</f>
        <v>0</v>
      </c>
      <c r="F70" s="61">
        <f>E70-D70</f>
        <v>0</v>
      </c>
      <c r="G70" s="62">
        <f>IF(C70&lt;$D$15,0,F70*$E$6)</f>
        <v>0</v>
      </c>
      <c r="H70" s="63">
        <f t="shared" ref="H70:H100" si="3">IF(C70&lt;$D$15,0,$E$27)</f>
        <v>0</v>
      </c>
      <c r="I70" s="64">
        <f t="shared" ref="I70:I100" si="4">ROUNDDOWN(G70+H70,4)</f>
        <v>0</v>
      </c>
      <c r="J70" s="64">
        <f t="shared" ref="J70:J100" si="5">ROUNDDOWN($J$67*I70,4)</f>
        <v>0</v>
      </c>
      <c r="K70" s="64">
        <f t="shared" ref="K70:K100" si="6">ROUNDDOWN(I70+J70,4)</f>
        <v>0</v>
      </c>
      <c r="L70" s="65">
        <f t="shared" ref="L70:L100" si="7">IF(C70&lt;$D$15,0,IF(C70=$D$15,$D$22,0))</f>
        <v>0</v>
      </c>
      <c r="M70" s="54">
        <f t="shared" ref="M70:M100" si="8">IF(C70&lt;$D$15,0,IF(C70=$D$15,L70-K70,M69-K70+L70))</f>
        <v>0</v>
      </c>
      <c r="N70" s="54"/>
      <c r="O70" s="63">
        <f t="shared" ref="O70:O100" si="9">IF(C70&lt;$D$15,0,$K$27)</f>
        <v>0</v>
      </c>
      <c r="P70" s="63">
        <f>(G70+O70)*$J$67</f>
        <v>0</v>
      </c>
    </row>
    <row r="71" spans="2:16" ht="16.2" customHeight="1" x14ac:dyDescent="0.3">
      <c r="C71" s="46">
        <f>C70+1</f>
        <v>45993</v>
      </c>
      <c r="D71" s="61">
        <f>E70</f>
        <v>0</v>
      </c>
      <c r="E71" s="61">
        <f t="shared" ref="E71:E100" si="10">E70+E34</f>
        <v>0</v>
      </c>
      <c r="F71" s="61">
        <f>E71-D71</f>
        <v>0</v>
      </c>
      <c r="G71" s="62">
        <f t="shared" ref="G71:G100" si="11">IF(C71&lt;$D$15,0,F71*$E$6)</f>
        <v>0</v>
      </c>
      <c r="H71" s="63">
        <f t="shared" si="3"/>
        <v>0</v>
      </c>
      <c r="I71" s="64">
        <f t="shared" si="4"/>
        <v>0</v>
      </c>
      <c r="J71" s="64">
        <f t="shared" si="5"/>
        <v>0</v>
      </c>
      <c r="K71" s="64">
        <f t="shared" si="6"/>
        <v>0</v>
      </c>
      <c r="L71" s="65">
        <f t="shared" si="7"/>
        <v>0</v>
      </c>
      <c r="M71" s="54">
        <f t="shared" si="8"/>
        <v>0</v>
      </c>
      <c r="N71" s="54"/>
      <c r="O71" s="63">
        <f t="shared" si="9"/>
        <v>0</v>
      </c>
      <c r="P71" s="63">
        <f t="shared" ref="P71:P100" si="12">(G71+O71)*$J$67</f>
        <v>0</v>
      </c>
    </row>
    <row r="72" spans="2:16" ht="16.2" customHeight="1" x14ac:dyDescent="0.3">
      <c r="C72" s="46">
        <f t="shared" ref="C72:C100" si="13">C71+1</f>
        <v>45994</v>
      </c>
      <c r="D72" s="61">
        <f>E71</f>
        <v>0</v>
      </c>
      <c r="E72" s="61">
        <f t="shared" si="10"/>
        <v>0</v>
      </c>
      <c r="F72" s="61">
        <f>E72-D72</f>
        <v>0</v>
      </c>
      <c r="G72" s="62">
        <f t="shared" si="11"/>
        <v>0</v>
      </c>
      <c r="H72" s="63">
        <f t="shared" si="3"/>
        <v>0</v>
      </c>
      <c r="I72" s="64">
        <f t="shared" si="4"/>
        <v>0</v>
      </c>
      <c r="J72" s="64">
        <f t="shared" si="5"/>
        <v>0</v>
      </c>
      <c r="K72" s="64">
        <f t="shared" si="6"/>
        <v>0</v>
      </c>
      <c r="L72" s="65">
        <f t="shared" si="7"/>
        <v>0</v>
      </c>
      <c r="M72" s="54">
        <f t="shared" si="8"/>
        <v>0</v>
      </c>
      <c r="N72" s="54"/>
      <c r="O72" s="63">
        <f t="shared" si="9"/>
        <v>0</v>
      </c>
      <c r="P72" s="63">
        <f t="shared" si="12"/>
        <v>0</v>
      </c>
    </row>
    <row r="73" spans="2:16" ht="16.2" customHeight="1" x14ac:dyDescent="0.3">
      <c r="C73" s="46">
        <f t="shared" si="13"/>
        <v>45995</v>
      </c>
      <c r="D73" s="61">
        <f t="shared" ref="D73:D100" si="14">E72</f>
        <v>0</v>
      </c>
      <c r="E73" s="61">
        <f t="shared" si="10"/>
        <v>0</v>
      </c>
      <c r="F73" s="61">
        <f t="shared" ref="F73:F100" si="15">E73-D73</f>
        <v>0</v>
      </c>
      <c r="G73" s="62">
        <f t="shared" si="11"/>
        <v>0</v>
      </c>
      <c r="H73" s="63">
        <f t="shared" si="3"/>
        <v>0</v>
      </c>
      <c r="I73" s="64">
        <f t="shared" si="4"/>
        <v>0</v>
      </c>
      <c r="J73" s="64">
        <f t="shared" si="5"/>
        <v>0</v>
      </c>
      <c r="K73" s="64">
        <f t="shared" si="6"/>
        <v>0</v>
      </c>
      <c r="L73" s="65">
        <f t="shared" si="7"/>
        <v>0</v>
      </c>
      <c r="M73" s="54">
        <f t="shared" si="8"/>
        <v>0</v>
      </c>
      <c r="N73" s="54"/>
      <c r="O73" s="63">
        <f t="shared" si="9"/>
        <v>0</v>
      </c>
      <c r="P73" s="63">
        <f t="shared" si="12"/>
        <v>0</v>
      </c>
    </row>
    <row r="74" spans="2:16" ht="16.2" customHeight="1" x14ac:dyDescent="0.3">
      <c r="C74" s="46">
        <f t="shared" si="13"/>
        <v>45996</v>
      </c>
      <c r="D74" s="61">
        <f t="shared" si="14"/>
        <v>0</v>
      </c>
      <c r="E74" s="61">
        <f t="shared" si="10"/>
        <v>0</v>
      </c>
      <c r="F74" s="61">
        <f t="shared" si="15"/>
        <v>0</v>
      </c>
      <c r="G74" s="62">
        <f t="shared" si="11"/>
        <v>0</v>
      </c>
      <c r="H74" s="63">
        <f t="shared" si="3"/>
        <v>0</v>
      </c>
      <c r="I74" s="64">
        <f t="shared" si="4"/>
        <v>0</v>
      </c>
      <c r="J74" s="64">
        <f t="shared" si="5"/>
        <v>0</v>
      </c>
      <c r="K74" s="64">
        <f t="shared" si="6"/>
        <v>0</v>
      </c>
      <c r="L74" s="65">
        <f t="shared" si="7"/>
        <v>0</v>
      </c>
      <c r="M74" s="54">
        <f t="shared" si="8"/>
        <v>0</v>
      </c>
      <c r="N74" s="54"/>
      <c r="O74" s="63">
        <f t="shared" si="9"/>
        <v>0</v>
      </c>
      <c r="P74" s="63">
        <f t="shared" si="12"/>
        <v>0</v>
      </c>
    </row>
    <row r="75" spans="2:16" ht="16.2" customHeight="1" x14ac:dyDescent="0.3">
      <c r="C75" s="46">
        <f t="shared" si="13"/>
        <v>45997</v>
      </c>
      <c r="D75" s="61">
        <f t="shared" si="14"/>
        <v>0</v>
      </c>
      <c r="E75" s="61">
        <f t="shared" si="10"/>
        <v>0</v>
      </c>
      <c r="F75" s="61">
        <f t="shared" si="15"/>
        <v>0</v>
      </c>
      <c r="G75" s="62">
        <f t="shared" si="11"/>
        <v>0</v>
      </c>
      <c r="H75" s="63">
        <f t="shared" si="3"/>
        <v>0</v>
      </c>
      <c r="I75" s="64">
        <f t="shared" si="4"/>
        <v>0</v>
      </c>
      <c r="J75" s="64">
        <f t="shared" si="5"/>
        <v>0</v>
      </c>
      <c r="K75" s="64">
        <f t="shared" si="6"/>
        <v>0</v>
      </c>
      <c r="L75" s="65">
        <f t="shared" si="7"/>
        <v>0</v>
      </c>
      <c r="M75" s="54">
        <f t="shared" si="8"/>
        <v>0</v>
      </c>
      <c r="N75" s="54"/>
      <c r="O75" s="63">
        <f t="shared" si="9"/>
        <v>0</v>
      </c>
      <c r="P75" s="63">
        <f t="shared" si="12"/>
        <v>0</v>
      </c>
    </row>
    <row r="76" spans="2:16" ht="16.2" customHeight="1" x14ac:dyDescent="0.3">
      <c r="C76" s="46">
        <f t="shared" si="13"/>
        <v>45998</v>
      </c>
      <c r="D76" s="61">
        <f t="shared" si="14"/>
        <v>0</v>
      </c>
      <c r="E76" s="61">
        <f t="shared" si="10"/>
        <v>0</v>
      </c>
      <c r="F76" s="61">
        <f t="shared" si="15"/>
        <v>0</v>
      </c>
      <c r="G76" s="62">
        <f t="shared" si="11"/>
        <v>0</v>
      </c>
      <c r="H76" s="63">
        <f t="shared" si="3"/>
        <v>0</v>
      </c>
      <c r="I76" s="64">
        <f t="shared" si="4"/>
        <v>0</v>
      </c>
      <c r="J76" s="64">
        <f t="shared" si="5"/>
        <v>0</v>
      </c>
      <c r="K76" s="64">
        <f t="shared" si="6"/>
        <v>0</v>
      </c>
      <c r="L76" s="65">
        <f t="shared" si="7"/>
        <v>0</v>
      </c>
      <c r="M76" s="54">
        <f t="shared" si="8"/>
        <v>0</v>
      </c>
      <c r="N76" s="54"/>
      <c r="O76" s="63">
        <f t="shared" si="9"/>
        <v>0</v>
      </c>
      <c r="P76" s="63">
        <f t="shared" si="12"/>
        <v>0</v>
      </c>
    </row>
    <row r="77" spans="2:16" ht="16.2" customHeight="1" x14ac:dyDescent="0.3">
      <c r="C77" s="46">
        <f t="shared" si="13"/>
        <v>45999</v>
      </c>
      <c r="D77" s="61">
        <f t="shared" si="14"/>
        <v>0</v>
      </c>
      <c r="E77" s="61">
        <f t="shared" si="10"/>
        <v>0</v>
      </c>
      <c r="F77" s="61">
        <f t="shared" si="15"/>
        <v>0</v>
      </c>
      <c r="G77" s="62">
        <f t="shared" si="11"/>
        <v>0</v>
      </c>
      <c r="H77" s="63">
        <f t="shared" si="3"/>
        <v>0</v>
      </c>
      <c r="I77" s="64">
        <f t="shared" si="4"/>
        <v>0</v>
      </c>
      <c r="J77" s="64">
        <f t="shared" si="5"/>
        <v>0</v>
      </c>
      <c r="K77" s="64">
        <f t="shared" si="6"/>
        <v>0</v>
      </c>
      <c r="L77" s="65">
        <f t="shared" si="7"/>
        <v>0</v>
      </c>
      <c r="M77" s="54">
        <f t="shared" si="8"/>
        <v>0</v>
      </c>
      <c r="N77" s="54"/>
      <c r="O77" s="63">
        <f t="shared" si="9"/>
        <v>0</v>
      </c>
      <c r="P77" s="63">
        <f t="shared" si="12"/>
        <v>0</v>
      </c>
    </row>
    <row r="78" spans="2:16" ht="16.2" customHeight="1" x14ac:dyDescent="0.3">
      <c r="C78" s="46">
        <f t="shared" si="13"/>
        <v>46000</v>
      </c>
      <c r="D78" s="61">
        <f t="shared" si="14"/>
        <v>0</v>
      </c>
      <c r="E78" s="61">
        <f t="shared" si="10"/>
        <v>0</v>
      </c>
      <c r="F78" s="61">
        <f t="shared" si="15"/>
        <v>0</v>
      </c>
      <c r="G78" s="62">
        <f t="shared" si="11"/>
        <v>0</v>
      </c>
      <c r="H78" s="63">
        <f t="shared" si="3"/>
        <v>0</v>
      </c>
      <c r="I78" s="64">
        <f t="shared" si="4"/>
        <v>0</v>
      </c>
      <c r="J78" s="64">
        <f t="shared" si="5"/>
        <v>0</v>
      </c>
      <c r="K78" s="64">
        <f t="shared" si="6"/>
        <v>0</v>
      </c>
      <c r="L78" s="65">
        <f t="shared" si="7"/>
        <v>0</v>
      </c>
      <c r="M78" s="54">
        <f t="shared" si="8"/>
        <v>0</v>
      </c>
      <c r="N78" s="54"/>
      <c r="O78" s="63">
        <f t="shared" si="9"/>
        <v>0</v>
      </c>
      <c r="P78" s="63">
        <f t="shared" si="12"/>
        <v>0</v>
      </c>
    </row>
    <row r="79" spans="2:16" ht="14.4" x14ac:dyDescent="0.3">
      <c r="C79" s="46">
        <f t="shared" si="13"/>
        <v>46001</v>
      </c>
      <c r="D79" s="61">
        <f t="shared" si="14"/>
        <v>0</v>
      </c>
      <c r="E79" s="61">
        <f t="shared" si="10"/>
        <v>0</v>
      </c>
      <c r="F79" s="61">
        <f t="shared" si="15"/>
        <v>0</v>
      </c>
      <c r="G79" s="62">
        <f t="shared" si="11"/>
        <v>0</v>
      </c>
      <c r="H79" s="63">
        <f t="shared" si="3"/>
        <v>0</v>
      </c>
      <c r="I79" s="64">
        <f t="shared" si="4"/>
        <v>0</v>
      </c>
      <c r="J79" s="64">
        <f t="shared" si="5"/>
        <v>0</v>
      </c>
      <c r="K79" s="64">
        <f t="shared" si="6"/>
        <v>0</v>
      </c>
      <c r="L79" s="65">
        <f t="shared" si="7"/>
        <v>0</v>
      </c>
      <c r="M79" s="54">
        <f t="shared" si="8"/>
        <v>0</v>
      </c>
      <c r="N79" s="54"/>
      <c r="O79" s="63">
        <f t="shared" si="9"/>
        <v>0</v>
      </c>
      <c r="P79" s="63">
        <f t="shared" si="12"/>
        <v>0</v>
      </c>
    </row>
    <row r="80" spans="2:16" ht="16.2" customHeight="1" x14ac:dyDescent="0.3">
      <c r="C80" s="46">
        <f t="shared" si="13"/>
        <v>46002</v>
      </c>
      <c r="D80" s="61">
        <f t="shared" si="14"/>
        <v>0</v>
      </c>
      <c r="E80" s="61">
        <f t="shared" si="10"/>
        <v>0</v>
      </c>
      <c r="F80" s="61">
        <f t="shared" si="15"/>
        <v>0</v>
      </c>
      <c r="G80" s="62">
        <f t="shared" si="11"/>
        <v>0</v>
      </c>
      <c r="H80" s="63">
        <f t="shared" si="3"/>
        <v>0</v>
      </c>
      <c r="I80" s="64">
        <f t="shared" si="4"/>
        <v>0</v>
      </c>
      <c r="J80" s="64">
        <f t="shared" si="5"/>
        <v>0</v>
      </c>
      <c r="K80" s="64">
        <f t="shared" si="6"/>
        <v>0</v>
      </c>
      <c r="L80" s="65">
        <f t="shared" si="7"/>
        <v>0</v>
      </c>
      <c r="M80" s="54">
        <f t="shared" si="8"/>
        <v>0</v>
      </c>
      <c r="N80" s="54"/>
      <c r="O80" s="63">
        <f t="shared" si="9"/>
        <v>0</v>
      </c>
      <c r="P80" s="63">
        <f t="shared" si="12"/>
        <v>0</v>
      </c>
    </row>
    <row r="81" spans="3:16" ht="16.2" customHeight="1" x14ac:dyDescent="0.3">
      <c r="C81" s="46">
        <f t="shared" si="13"/>
        <v>46003</v>
      </c>
      <c r="D81" s="61">
        <f t="shared" si="14"/>
        <v>0</v>
      </c>
      <c r="E81" s="61">
        <f t="shared" si="10"/>
        <v>0</v>
      </c>
      <c r="F81" s="61">
        <f t="shared" si="15"/>
        <v>0</v>
      </c>
      <c r="G81" s="62">
        <f t="shared" si="11"/>
        <v>0</v>
      </c>
      <c r="H81" s="63">
        <f t="shared" si="3"/>
        <v>0</v>
      </c>
      <c r="I81" s="64">
        <f t="shared" si="4"/>
        <v>0</v>
      </c>
      <c r="J81" s="64">
        <f t="shared" si="5"/>
        <v>0</v>
      </c>
      <c r="K81" s="64">
        <f t="shared" si="6"/>
        <v>0</v>
      </c>
      <c r="L81" s="65">
        <f t="shared" si="7"/>
        <v>0</v>
      </c>
      <c r="M81" s="54">
        <f t="shared" si="8"/>
        <v>0</v>
      </c>
      <c r="N81" s="54"/>
      <c r="O81" s="63">
        <f t="shared" si="9"/>
        <v>0</v>
      </c>
      <c r="P81" s="63">
        <f t="shared" si="12"/>
        <v>0</v>
      </c>
    </row>
    <row r="82" spans="3:16" ht="16.2" customHeight="1" x14ac:dyDescent="0.3">
      <c r="C82" s="46">
        <f t="shared" si="13"/>
        <v>46004</v>
      </c>
      <c r="D82" s="61">
        <f t="shared" si="14"/>
        <v>0</v>
      </c>
      <c r="E82" s="61">
        <f t="shared" si="10"/>
        <v>0</v>
      </c>
      <c r="F82" s="61">
        <f t="shared" si="15"/>
        <v>0</v>
      </c>
      <c r="G82" s="62">
        <f t="shared" si="11"/>
        <v>0</v>
      </c>
      <c r="H82" s="63">
        <f t="shared" si="3"/>
        <v>0</v>
      </c>
      <c r="I82" s="64">
        <f t="shared" si="4"/>
        <v>0</v>
      </c>
      <c r="J82" s="64">
        <f t="shared" si="5"/>
        <v>0</v>
      </c>
      <c r="K82" s="64">
        <f t="shared" si="6"/>
        <v>0</v>
      </c>
      <c r="L82" s="65">
        <f t="shared" si="7"/>
        <v>0</v>
      </c>
      <c r="M82" s="54">
        <f t="shared" si="8"/>
        <v>0</v>
      </c>
      <c r="N82" s="54"/>
      <c r="O82" s="63">
        <f t="shared" si="9"/>
        <v>0</v>
      </c>
      <c r="P82" s="63">
        <f t="shared" si="12"/>
        <v>0</v>
      </c>
    </row>
    <row r="83" spans="3:16" ht="16.2" customHeight="1" x14ac:dyDescent="0.3">
      <c r="C83" s="46">
        <f t="shared" si="13"/>
        <v>46005</v>
      </c>
      <c r="D83" s="61">
        <f t="shared" si="14"/>
        <v>0</v>
      </c>
      <c r="E83" s="61">
        <f t="shared" si="10"/>
        <v>70.707070707070713</v>
      </c>
      <c r="F83" s="61">
        <f t="shared" si="15"/>
        <v>70.707070707070713</v>
      </c>
      <c r="G83" s="62">
        <f t="shared" si="11"/>
        <v>611.61616161616166</v>
      </c>
      <c r="H83" s="63">
        <f t="shared" si="3"/>
        <v>16.130600000000001</v>
      </c>
      <c r="I83" s="64">
        <f t="shared" si="4"/>
        <v>627.74670000000003</v>
      </c>
      <c r="J83" s="64">
        <f t="shared" si="5"/>
        <v>12.5549</v>
      </c>
      <c r="K83" s="64">
        <f t="shared" si="6"/>
        <v>640.30160000000001</v>
      </c>
      <c r="L83" s="65">
        <f t="shared" si="7"/>
        <v>10000</v>
      </c>
      <c r="M83" s="54">
        <f t="shared" si="8"/>
        <v>9359.6983999999993</v>
      </c>
      <c r="N83" s="54"/>
      <c r="O83" s="63">
        <f t="shared" si="9"/>
        <v>29.035</v>
      </c>
      <c r="P83" s="63">
        <f t="shared" si="12"/>
        <v>12.813023232323232</v>
      </c>
    </row>
    <row r="84" spans="3:16" ht="16.2" customHeight="1" x14ac:dyDescent="0.3">
      <c r="C84" s="46">
        <f t="shared" si="13"/>
        <v>46006</v>
      </c>
      <c r="D84" s="61">
        <f t="shared" si="14"/>
        <v>70.707070707070713</v>
      </c>
      <c r="E84" s="61">
        <f t="shared" si="10"/>
        <v>139.39393939393941</v>
      </c>
      <c r="F84" s="61">
        <f t="shared" si="15"/>
        <v>68.686868686868692</v>
      </c>
      <c r="G84" s="62">
        <f t="shared" si="11"/>
        <v>594.1414141414142</v>
      </c>
      <c r="H84" s="63">
        <f t="shared" si="3"/>
        <v>16.130600000000001</v>
      </c>
      <c r="I84" s="64">
        <f t="shared" si="4"/>
        <v>610.27200000000005</v>
      </c>
      <c r="J84" s="64">
        <f t="shared" si="5"/>
        <v>12.205399999999999</v>
      </c>
      <c r="K84" s="64">
        <f t="shared" si="6"/>
        <v>622.47739999999999</v>
      </c>
      <c r="L84" s="65">
        <f t="shared" si="7"/>
        <v>0</v>
      </c>
      <c r="M84" s="54">
        <f t="shared" si="8"/>
        <v>8737.2209999999995</v>
      </c>
      <c r="N84" s="54"/>
      <c r="O84" s="63">
        <f t="shared" si="9"/>
        <v>29.035</v>
      </c>
      <c r="P84" s="63">
        <f t="shared" si="12"/>
        <v>12.463528282828284</v>
      </c>
    </row>
    <row r="85" spans="3:16" ht="16.2" customHeight="1" x14ac:dyDescent="0.3">
      <c r="C85" s="46">
        <f t="shared" si="13"/>
        <v>46007</v>
      </c>
      <c r="D85" s="61">
        <f t="shared" si="14"/>
        <v>139.39393939393941</v>
      </c>
      <c r="E85" s="61">
        <f t="shared" si="10"/>
        <v>213.13131313131316</v>
      </c>
      <c r="F85" s="61">
        <f t="shared" si="15"/>
        <v>73.737373737373758</v>
      </c>
      <c r="G85" s="62">
        <f t="shared" si="11"/>
        <v>637.82828282828302</v>
      </c>
      <c r="H85" s="63">
        <f t="shared" si="3"/>
        <v>16.130600000000001</v>
      </c>
      <c r="I85" s="64">
        <f t="shared" si="4"/>
        <v>653.9588</v>
      </c>
      <c r="J85" s="64">
        <f t="shared" si="5"/>
        <v>13.0791</v>
      </c>
      <c r="K85" s="64">
        <f t="shared" si="6"/>
        <v>667.03790000000004</v>
      </c>
      <c r="L85" s="65">
        <f t="shared" si="7"/>
        <v>0</v>
      </c>
      <c r="M85" s="54">
        <f t="shared" si="8"/>
        <v>8070.1830999999993</v>
      </c>
      <c r="N85" s="54"/>
      <c r="O85" s="63">
        <f t="shared" si="9"/>
        <v>29.035</v>
      </c>
      <c r="P85" s="63">
        <f t="shared" si="12"/>
        <v>13.337265656565661</v>
      </c>
    </row>
    <row r="86" spans="3:16" ht="16.2" customHeight="1" x14ac:dyDescent="0.3">
      <c r="C86" s="46">
        <f t="shared" si="13"/>
        <v>46008</v>
      </c>
      <c r="D86" s="61">
        <f t="shared" si="14"/>
        <v>213.13131313131316</v>
      </c>
      <c r="E86" s="61">
        <f t="shared" si="10"/>
        <v>281.81818181818187</v>
      </c>
      <c r="F86" s="61">
        <f t="shared" si="15"/>
        <v>68.686868686868706</v>
      </c>
      <c r="G86" s="62">
        <f t="shared" si="11"/>
        <v>594.14141414141432</v>
      </c>
      <c r="H86" s="63">
        <f t="shared" si="3"/>
        <v>16.130600000000001</v>
      </c>
      <c r="I86" s="64">
        <f t="shared" si="4"/>
        <v>610.27200000000005</v>
      </c>
      <c r="J86" s="64">
        <f t="shared" si="5"/>
        <v>12.205399999999999</v>
      </c>
      <c r="K86" s="64">
        <f t="shared" si="6"/>
        <v>622.47739999999999</v>
      </c>
      <c r="L86" s="65">
        <f t="shared" si="7"/>
        <v>0</v>
      </c>
      <c r="M86" s="54">
        <f t="shared" si="8"/>
        <v>7447.7056999999995</v>
      </c>
      <c r="N86" s="54"/>
      <c r="O86" s="63">
        <f t="shared" si="9"/>
        <v>29.035</v>
      </c>
      <c r="P86" s="63">
        <f t="shared" si="12"/>
        <v>12.463528282828285</v>
      </c>
    </row>
    <row r="87" spans="3:16" ht="16.2" customHeight="1" x14ac:dyDescent="0.3">
      <c r="C87" s="46">
        <f t="shared" si="13"/>
        <v>46009</v>
      </c>
      <c r="D87" s="61">
        <f t="shared" si="14"/>
        <v>281.81818181818187</v>
      </c>
      <c r="E87" s="61">
        <f t="shared" si="10"/>
        <v>351.51515151515156</v>
      </c>
      <c r="F87" s="61">
        <f t="shared" si="15"/>
        <v>69.696969696969688</v>
      </c>
      <c r="G87" s="62">
        <f t="shared" si="11"/>
        <v>602.87878787878788</v>
      </c>
      <c r="H87" s="63">
        <f t="shared" si="3"/>
        <v>16.130600000000001</v>
      </c>
      <c r="I87" s="64">
        <f t="shared" si="4"/>
        <v>619.00930000000005</v>
      </c>
      <c r="J87" s="64">
        <f t="shared" si="5"/>
        <v>12.380100000000001</v>
      </c>
      <c r="K87" s="64">
        <f t="shared" si="6"/>
        <v>631.38940000000002</v>
      </c>
      <c r="L87" s="65">
        <f t="shared" si="7"/>
        <v>0</v>
      </c>
      <c r="M87" s="54">
        <f t="shared" si="8"/>
        <v>6816.3162999999995</v>
      </c>
      <c r="N87" s="54"/>
      <c r="O87" s="63">
        <f t="shared" si="9"/>
        <v>29.035</v>
      </c>
      <c r="P87" s="63">
        <f t="shared" si="12"/>
        <v>12.638275757575757</v>
      </c>
    </row>
    <row r="88" spans="3:16" ht="16.2" customHeight="1" x14ac:dyDescent="0.3">
      <c r="C88" s="46">
        <f t="shared" si="13"/>
        <v>46010</v>
      </c>
      <c r="D88" s="61">
        <f t="shared" si="14"/>
        <v>351.51515151515156</v>
      </c>
      <c r="E88" s="61">
        <f t="shared" si="10"/>
        <v>420.20202020202026</v>
      </c>
      <c r="F88" s="61">
        <f t="shared" si="15"/>
        <v>68.686868686868706</v>
      </c>
      <c r="G88" s="62">
        <f t="shared" si="11"/>
        <v>594.14141414141432</v>
      </c>
      <c r="H88" s="63">
        <f t="shared" si="3"/>
        <v>16.130600000000001</v>
      </c>
      <c r="I88" s="64">
        <f t="shared" si="4"/>
        <v>610.27200000000005</v>
      </c>
      <c r="J88" s="64">
        <f t="shared" si="5"/>
        <v>12.205399999999999</v>
      </c>
      <c r="K88" s="64">
        <f t="shared" si="6"/>
        <v>622.47739999999999</v>
      </c>
      <c r="L88" s="65">
        <f t="shared" si="7"/>
        <v>0</v>
      </c>
      <c r="M88" s="54">
        <f t="shared" si="8"/>
        <v>6193.8388999999997</v>
      </c>
      <c r="N88" s="54"/>
      <c r="O88" s="63">
        <f t="shared" si="9"/>
        <v>29.035</v>
      </c>
      <c r="P88" s="63">
        <f t="shared" si="12"/>
        <v>12.463528282828285</v>
      </c>
    </row>
    <row r="89" spans="3:16" ht="16.2" customHeight="1" x14ac:dyDescent="0.3">
      <c r="C89" s="46">
        <f t="shared" si="13"/>
        <v>46011</v>
      </c>
      <c r="D89" s="61">
        <f t="shared" si="14"/>
        <v>420.20202020202026</v>
      </c>
      <c r="E89" s="61">
        <f t="shared" si="10"/>
        <v>491.91919191919197</v>
      </c>
      <c r="F89" s="61">
        <f t="shared" si="15"/>
        <v>71.717171717171709</v>
      </c>
      <c r="G89" s="62">
        <f t="shared" si="11"/>
        <v>620.35353535353534</v>
      </c>
      <c r="H89" s="63">
        <f t="shared" si="3"/>
        <v>16.130600000000001</v>
      </c>
      <c r="I89" s="64">
        <f t="shared" si="4"/>
        <v>636.48410000000001</v>
      </c>
      <c r="J89" s="64">
        <f t="shared" si="5"/>
        <v>12.7296</v>
      </c>
      <c r="K89" s="64">
        <f t="shared" si="6"/>
        <v>649.21370000000002</v>
      </c>
      <c r="L89" s="65">
        <f t="shared" si="7"/>
        <v>0</v>
      </c>
      <c r="M89" s="54">
        <f t="shared" si="8"/>
        <v>5544.6251999999995</v>
      </c>
      <c r="N89" s="54"/>
      <c r="O89" s="63">
        <f t="shared" si="9"/>
        <v>29.035</v>
      </c>
      <c r="P89" s="63">
        <f t="shared" si="12"/>
        <v>12.987770707070707</v>
      </c>
    </row>
    <row r="90" spans="3:16" ht="16.2" customHeight="1" x14ac:dyDescent="0.3">
      <c r="C90" s="46">
        <f t="shared" si="13"/>
        <v>46012</v>
      </c>
      <c r="D90" s="61">
        <f t="shared" si="14"/>
        <v>491.91919191919197</v>
      </c>
      <c r="E90" s="61">
        <f t="shared" si="10"/>
        <v>564.64646464646466</v>
      </c>
      <c r="F90" s="61">
        <f t="shared" si="15"/>
        <v>72.727272727272691</v>
      </c>
      <c r="G90" s="62">
        <f t="shared" si="11"/>
        <v>629.09090909090878</v>
      </c>
      <c r="H90" s="63">
        <f t="shared" si="3"/>
        <v>16.130600000000001</v>
      </c>
      <c r="I90" s="64">
        <f t="shared" si="4"/>
        <v>645.22149999999999</v>
      </c>
      <c r="J90" s="64">
        <f t="shared" si="5"/>
        <v>12.904400000000001</v>
      </c>
      <c r="K90" s="64">
        <f t="shared" si="6"/>
        <v>658.1259</v>
      </c>
      <c r="L90" s="65">
        <f t="shared" si="7"/>
        <v>0</v>
      </c>
      <c r="M90" s="54">
        <f t="shared" si="8"/>
        <v>4886.4992999999995</v>
      </c>
      <c r="N90" s="54"/>
      <c r="O90" s="63">
        <f t="shared" si="9"/>
        <v>29.035</v>
      </c>
      <c r="P90" s="63">
        <f t="shared" si="12"/>
        <v>13.162518181818175</v>
      </c>
    </row>
    <row r="91" spans="3:16" ht="16.2" customHeight="1" x14ac:dyDescent="0.3">
      <c r="C91" s="46">
        <f t="shared" si="13"/>
        <v>46013</v>
      </c>
      <c r="D91" s="61">
        <f t="shared" si="14"/>
        <v>564.64646464646466</v>
      </c>
      <c r="E91" s="61">
        <f t="shared" si="10"/>
        <v>633.33333333333337</v>
      </c>
      <c r="F91" s="61">
        <f t="shared" si="15"/>
        <v>68.686868686868706</v>
      </c>
      <c r="G91" s="62">
        <f t="shared" si="11"/>
        <v>594.14141414141432</v>
      </c>
      <c r="H91" s="63">
        <f t="shared" si="3"/>
        <v>16.130600000000001</v>
      </c>
      <c r="I91" s="64">
        <f t="shared" si="4"/>
        <v>610.27200000000005</v>
      </c>
      <c r="J91" s="64">
        <f t="shared" si="5"/>
        <v>12.205399999999999</v>
      </c>
      <c r="K91" s="64">
        <f t="shared" si="6"/>
        <v>622.47739999999999</v>
      </c>
      <c r="L91" s="65">
        <f t="shared" si="7"/>
        <v>0</v>
      </c>
      <c r="M91" s="54">
        <f t="shared" si="8"/>
        <v>4264.0218999999997</v>
      </c>
      <c r="N91" s="54"/>
      <c r="O91" s="63">
        <f t="shared" si="9"/>
        <v>29.035</v>
      </c>
      <c r="P91" s="63">
        <f t="shared" si="12"/>
        <v>12.463528282828285</v>
      </c>
    </row>
    <row r="92" spans="3:16" ht="16.2" customHeight="1" x14ac:dyDescent="0.3">
      <c r="C92" s="46">
        <f t="shared" si="13"/>
        <v>46014</v>
      </c>
      <c r="D92" s="61">
        <f t="shared" si="14"/>
        <v>633.33333333333337</v>
      </c>
      <c r="E92" s="61">
        <f t="shared" si="10"/>
        <v>703.03030303030312</v>
      </c>
      <c r="F92" s="61">
        <f t="shared" si="15"/>
        <v>69.696969696969745</v>
      </c>
      <c r="G92" s="62">
        <f t="shared" si="11"/>
        <v>602.87878787878833</v>
      </c>
      <c r="H92" s="63">
        <f t="shared" si="3"/>
        <v>16.130600000000001</v>
      </c>
      <c r="I92" s="64">
        <f t="shared" si="4"/>
        <v>619.00930000000005</v>
      </c>
      <c r="J92" s="64">
        <f t="shared" si="5"/>
        <v>12.380100000000001</v>
      </c>
      <c r="K92" s="64">
        <f t="shared" si="6"/>
        <v>631.38940000000002</v>
      </c>
      <c r="L92" s="65">
        <f t="shared" si="7"/>
        <v>0</v>
      </c>
      <c r="M92" s="54">
        <f t="shared" si="8"/>
        <v>3632.6324999999997</v>
      </c>
      <c r="N92" s="54"/>
      <c r="O92" s="63">
        <f t="shared" si="9"/>
        <v>29.035</v>
      </c>
      <c r="P92" s="63">
        <f t="shared" si="12"/>
        <v>12.638275757575766</v>
      </c>
    </row>
    <row r="93" spans="3:16" ht="16.2" customHeight="1" x14ac:dyDescent="0.3">
      <c r="C93" s="46">
        <f t="shared" si="13"/>
        <v>46015</v>
      </c>
      <c r="D93" s="61">
        <f t="shared" si="14"/>
        <v>703.03030303030312</v>
      </c>
      <c r="E93" s="61">
        <f t="shared" si="10"/>
        <v>777.77777777777783</v>
      </c>
      <c r="F93" s="61">
        <f t="shared" si="15"/>
        <v>74.747474747474712</v>
      </c>
      <c r="G93" s="62">
        <f t="shared" si="11"/>
        <v>646.56565656565624</v>
      </c>
      <c r="H93" s="63">
        <f t="shared" si="3"/>
        <v>16.130600000000001</v>
      </c>
      <c r="I93" s="64">
        <f t="shared" si="4"/>
        <v>662.69619999999998</v>
      </c>
      <c r="J93" s="64">
        <f t="shared" si="5"/>
        <v>13.2539</v>
      </c>
      <c r="K93" s="64">
        <f t="shared" si="6"/>
        <v>675.95010000000002</v>
      </c>
      <c r="L93" s="65">
        <f t="shared" si="7"/>
        <v>0</v>
      </c>
      <c r="M93" s="54">
        <f t="shared" si="8"/>
        <v>2956.6823999999997</v>
      </c>
      <c r="N93" s="54"/>
      <c r="O93" s="63">
        <f t="shared" si="9"/>
        <v>29.035</v>
      </c>
      <c r="P93" s="63">
        <f t="shared" si="12"/>
        <v>13.512013131313125</v>
      </c>
    </row>
    <row r="94" spans="3:16" ht="16.2" customHeight="1" x14ac:dyDescent="0.3">
      <c r="C94" s="46">
        <f t="shared" si="13"/>
        <v>46016</v>
      </c>
      <c r="D94" s="61">
        <f t="shared" si="14"/>
        <v>777.77777777777783</v>
      </c>
      <c r="E94" s="61">
        <f t="shared" si="10"/>
        <v>854.54545454545462</v>
      </c>
      <c r="F94" s="61">
        <f t="shared" si="15"/>
        <v>76.767676767676789</v>
      </c>
      <c r="G94" s="62">
        <f t="shared" si="11"/>
        <v>664.04040404040427</v>
      </c>
      <c r="H94" s="63">
        <f t="shared" si="3"/>
        <v>16.130600000000001</v>
      </c>
      <c r="I94" s="64">
        <f t="shared" si="4"/>
        <v>680.17100000000005</v>
      </c>
      <c r="J94" s="64">
        <f t="shared" si="5"/>
        <v>13.603400000000001</v>
      </c>
      <c r="K94" s="64">
        <f t="shared" si="6"/>
        <v>693.77440000000001</v>
      </c>
      <c r="L94" s="65">
        <f t="shared" si="7"/>
        <v>0</v>
      </c>
      <c r="M94" s="54">
        <f t="shared" si="8"/>
        <v>2262.9079999999994</v>
      </c>
      <c r="N94" s="54"/>
      <c r="O94" s="63">
        <f t="shared" si="9"/>
        <v>29.035</v>
      </c>
      <c r="P94" s="63">
        <f t="shared" si="12"/>
        <v>13.861508080808084</v>
      </c>
    </row>
    <row r="95" spans="3:16" ht="16.2" customHeight="1" x14ac:dyDescent="0.3">
      <c r="C95" s="46">
        <f t="shared" si="13"/>
        <v>46017</v>
      </c>
      <c r="D95" s="61">
        <f t="shared" si="14"/>
        <v>854.54545454545462</v>
      </c>
      <c r="E95" s="61">
        <f t="shared" si="10"/>
        <v>923.23232323232332</v>
      </c>
      <c r="F95" s="61">
        <f t="shared" si="15"/>
        <v>68.686868686868706</v>
      </c>
      <c r="G95" s="62">
        <f t="shared" si="11"/>
        <v>594.14141414141432</v>
      </c>
      <c r="H95" s="63">
        <f t="shared" si="3"/>
        <v>16.130600000000001</v>
      </c>
      <c r="I95" s="64">
        <f t="shared" si="4"/>
        <v>610.27200000000005</v>
      </c>
      <c r="J95" s="64">
        <f t="shared" si="5"/>
        <v>12.205399999999999</v>
      </c>
      <c r="K95" s="64">
        <f t="shared" si="6"/>
        <v>622.47739999999999</v>
      </c>
      <c r="L95" s="65">
        <f t="shared" si="7"/>
        <v>0</v>
      </c>
      <c r="M95" s="54">
        <f t="shared" si="8"/>
        <v>1640.4305999999995</v>
      </c>
      <c r="N95" s="54"/>
      <c r="O95" s="63">
        <f t="shared" si="9"/>
        <v>29.035</v>
      </c>
      <c r="P95" s="63">
        <f t="shared" si="12"/>
        <v>12.463528282828285</v>
      </c>
    </row>
    <row r="96" spans="3:16" ht="16.2" customHeight="1" x14ac:dyDescent="0.3">
      <c r="C96" s="46">
        <f t="shared" si="13"/>
        <v>46018</v>
      </c>
      <c r="D96" s="61">
        <f t="shared" si="14"/>
        <v>923.23232323232332</v>
      </c>
      <c r="E96" s="61">
        <f t="shared" si="10"/>
        <v>990.90909090909099</v>
      </c>
      <c r="F96" s="61">
        <f t="shared" si="15"/>
        <v>67.676767676767668</v>
      </c>
      <c r="G96" s="62">
        <f t="shared" si="11"/>
        <v>585.4040404040403</v>
      </c>
      <c r="H96" s="63">
        <f t="shared" si="3"/>
        <v>16.130600000000001</v>
      </c>
      <c r="I96" s="64">
        <f t="shared" si="4"/>
        <v>601.53459999999995</v>
      </c>
      <c r="J96" s="64">
        <f t="shared" si="5"/>
        <v>12.0306</v>
      </c>
      <c r="K96" s="64">
        <f t="shared" si="6"/>
        <v>613.5652</v>
      </c>
      <c r="L96" s="65">
        <f t="shared" si="7"/>
        <v>0</v>
      </c>
      <c r="M96" s="54">
        <f t="shared" si="8"/>
        <v>1026.8653999999995</v>
      </c>
      <c r="N96" s="54"/>
      <c r="O96" s="63">
        <f t="shared" si="9"/>
        <v>29.035</v>
      </c>
      <c r="P96" s="63">
        <f t="shared" si="12"/>
        <v>12.288780808080805</v>
      </c>
    </row>
    <row r="97" spans="3:16" ht="16.2" customHeight="1" x14ac:dyDescent="0.3">
      <c r="C97" s="46">
        <f t="shared" si="13"/>
        <v>46019</v>
      </c>
      <c r="D97" s="61">
        <f t="shared" si="14"/>
        <v>990.90909090909099</v>
      </c>
      <c r="E97" s="61">
        <f t="shared" si="10"/>
        <v>1060.6060606060607</v>
      </c>
      <c r="F97" s="61">
        <f t="shared" si="15"/>
        <v>69.696969696969745</v>
      </c>
      <c r="G97" s="62">
        <f t="shared" si="11"/>
        <v>602.87878787878833</v>
      </c>
      <c r="H97" s="63">
        <f t="shared" si="3"/>
        <v>16.130600000000001</v>
      </c>
      <c r="I97" s="64">
        <f t="shared" si="4"/>
        <v>619.00930000000005</v>
      </c>
      <c r="J97" s="64">
        <f t="shared" si="5"/>
        <v>12.380100000000001</v>
      </c>
      <c r="K97" s="64">
        <f t="shared" si="6"/>
        <v>631.38940000000002</v>
      </c>
      <c r="L97" s="65">
        <f t="shared" si="7"/>
        <v>0</v>
      </c>
      <c r="M97" s="54">
        <f t="shared" si="8"/>
        <v>395.47599999999943</v>
      </c>
      <c r="N97" s="54"/>
      <c r="O97" s="63">
        <f t="shared" si="9"/>
        <v>29.035</v>
      </c>
      <c r="P97" s="63">
        <f t="shared" si="12"/>
        <v>12.638275757575766</v>
      </c>
    </row>
    <row r="98" spans="3:16" ht="16.2" customHeight="1" x14ac:dyDescent="0.3">
      <c r="C98" s="46">
        <f t="shared" si="13"/>
        <v>46020</v>
      </c>
      <c r="D98" s="61">
        <f t="shared" si="14"/>
        <v>1060.6060606060607</v>
      </c>
      <c r="E98" s="61">
        <f t="shared" si="10"/>
        <v>1129.2929292929293</v>
      </c>
      <c r="F98" s="61">
        <f t="shared" si="15"/>
        <v>68.686868686868593</v>
      </c>
      <c r="G98" s="62">
        <f t="shared" si="11"/>
        <v>594.14141414141341</v>
      </c>
      <c r="H98" s="63">
        <f t="shared" si="3"/>
        <v>16.130600000000001</v>
      </c>
      <c r="I98" s="64">
        <f t="shared" si="4"/>
        <v>610.27200000000005</v>
      </c>
      <c r="J98" s="64">
        <f t="shared" si="5"/>
        <v>12.205399999999999</v>
      </c>
      <c r="K98" s="64">
        <f t="shared" si="6"/>
        <v>622.47739999999999</v>
      </c>
      <c r="L98" s="65">
        <f t="shared" si="7"/>
        <v>0</v>
      </c>
      <c r="M98" s="54">
        <f t="shared" si="8"/>
        <v>-227.00140000000056</v>
      </c>
      <c r="N98" s="54"/>
      <c r="O98" s="63">
        <f t="shared" si="9"/>
        <v>29.035</v>
      </c>
      <c r="P98" s="63">
        <f t="shared" si="12"/>
        <v>12.463528282828268</v>
      </c>
    </row>
    <row r="99" spans="3:16" ht="16.2" customHeight="1" x14ac:dyDescent="0.3">
      <c r="C99" s="46">
        <f t="shared" si="13"/>
        <v>46021</v>
      </c>
      <c r="D99" s="61">
        <f t="shared" si="14"/>
        <v>1129.2929292929293</v>
      </c>
      <c r="E99" s="61">
        <f t="shared" si="10"/>
        <v>1198.9898989898991</v>
      </c>
      <c r="F99" s="61">
        <f t="shared" si="15"/>
        <v>69.696969696969745</v>
      </c>
      <c r="G99" s="62">
        <f t="shared" si="11"/>
        <v>602.87878787878833</v>
      </c>
      <c r="H99" s="63">
        <f t="shared" si="3"/>
        <v>16.130600000000001</v>
      </c>
      <c r="I99" s="64">
        <f t="shared" si="4"/>
        <v>619.00930000000005</v>
      </c>
      <c r="J99" s="64">
        <f t="shared" si="5"/>
        <v>12.380100000000001</v>
      </c>
      <c r="K99" s="64">
        <f t="shared" si="6"/>
        <v>631.38940000000002</v>
      </c>
      <c r="L99" s="65">
        <f t="shared" si="7"/>
        <v>0</v>
      </c>
      <c r="M99" s="54">
        <f t="shared" si="8"/>
        <v>-858.39080000000058</v>
      </c>
      <c r="N99" s="54"/>
      <c r="O99" s="63">
        <f t="shared" si="9"/>
        <v>29.035</v>
      </c>
      <c r="P99" s="63">
        <f t="shared" si="12"/>
        <v>12.638275757575766</v>
      </c>
    </row>
    <row r="100" spans="3:16" ht="16.2" customHeight="1" x14ac:dyDescent="0.3">
      <c r="C100" s="46">
        <f t="shared" si="13"/>
        <v>46022</v>
      </c>
      <c r="D100" s="61">
        <f t="shared" si="14"/>
        <v>1198.9898989898991</v>
      </c>
      <c r="E100" s="61">
        <f t="shared" si="10"/>
        <v>1271.7171717171718</v>
      </c>
      <c r="F100" s="61">
        <f t="shared" si="15"/>
        <v>72.727272727272748</v>
      </c>
      <c r="G100" s="62">
        <f t="shared" si="11"/>
        <v>629.09090909090935</v>
      </c>
      <c r="H100" s="63">
        <f t="shared" si="3"/>
        <v>16.130600000000001</v>
      </c>
      <c r="I100" s="64">
        <f t="shared" si="4"/>
        <v>645.22149999999999</v>
      </c>
      <c r="J100" s="64">
        <f t="shared" si="5"/>
        <v>12.904400000000001</v>
      </c>
      <c r="K100" s="64">
        <f t="shared" si="6"/>
        <v>658.1259</v>
      </c>
      <c r="L100" s="65">
        <f t="shared" si="7"/>
        <v>0</v>
      </c>
      <c r="M100" s="54">
        <f t="shared" si="8"/>
        <v>-1516.5167000000006</v>
      </c>
      <c r="O100" s="63">
        <f t="shared" si="9"/>
        <v>29.035</v>
      </c>
      <c r="P100" s="63">
        <f t="shared" si="12"/>
        <v>13.162518181818186</v>
      </c>
    </row>
    <row r="101" spans="3:16" ht="16.2" customHeight="1" x14ac:dyDescent="0.3">
      <c r="C101" s="46"/>
      <c r="D101" s="61"/>
      <c r="E101" s="61"/>
      <c r="F101" s="61"/>
      <c r="G101" s="24"/>
      <c r="H101" s="62">
        <f>SUM(H70:H100)</f>
        <v>290.35080000000016</v>
      </c>
      <c r="I101" s="63"/>
      <c r="J101" s="64"/>
      <c r="K101" s="64"/>
      <c r="L101" s="64"/>
      <c r="M101" s="66">
        <f>IF(C100&lt;$D$15,0,IF(C100=$D$15,L100-K100,M99-K100+L100-O101-P101))</f>
        <v>-1753.4424707070714</v>
      </c>
      <c r="O101" s="67">
        <f>SUM(O70:O100)-SUM(H70:H100)</f>
        <v>232.27920000000006</v>
      </c>
      <c r="P101" s="67">
        <f>SUM(P70:P100)-SUM(J70:J100)</f>
        <v>4.6465707070707936</v>
      </c>
    </row>
    <row r="102" spans="3:16" ht="16.2" customHeight="1" x14ac:dyDescent="0.3">
      <c r="C102" s="46"/>
      <c r="O102" s="68"/>
    </row>
    <row r="103" spans="3:16" ht="16.2" customHeight="1" x14ac:dyDescent="0.3">
      <c r="C103" s="46"/>
    </row>
    <row r="104" spans="3:16" ht="16.2" customHeight="1" x14ac:dyDescent="0.3">
      <c r="C104" s="46"/>
    </row>
    <row r="105" spans="3:16" ht="16.2" customHeight="1" x14ac:dyDescent="0.3">
      <c r="C105" s="46"/>
    </row>
    <row r="106" spans="3:16" ht="16.2" customHeight="1" x14ac:dyDescent="0.3">
      <c r="C106" s="46"/>
    </row>
    <row r="107" spans="3:16" ht="16.2" customHeight="1" x14ac:dyDescent="0.3">
      <c r="C107" s="46"/>
    </row>
    <row r="108" spans="3:16" ht="16.2" customHeight="1" x14ac:dyDescent="0.3">
      <c r="C108" s="46"/>
    </row>
    <row r="109" spans="3:16" ht="16.2" customHeight="1" x14ac:dyDescent="0.3">
      <c r="C109" s="46"/>
    </row>
    <row r="110" spans="3:16" ht="16.2" customHeight="1" x14ac:dyDescent="0.3">
      <c r="C110" s="46"/>
    </row>
    <row r="111" spans="3:16" ht="16.2" customHeight="1" x14ac:dyDescent="0.3">
      <c r="C111" s="46"/>
    </row>
    <row r="112" spans="3:16" ht="16.2" customHeight="1" x14ac:dyDescent="0.3">
      <c r="C112" s="46"/>
    </row>
    <row r="113" spans="3:3" ht="16.2" customHeight="1" x14ac:dyDescent="0.3">
      <c r="C113" s="46"/>
    </row>
    <row r="114" spans="3:3" ht="16.2" customHeight="1" x14ac:dyDescent="0.3">
      <c r="C114" s="46"/>
    </row>
    <row r="115" spans="3:3" ht="16.2" customHeight="1" x14ac:dyDescent="0.3">
      <c r="C115" s="46"/>
    </row>
    <row r="116" spans="3:3" ht="16.2" customHeight="1" x14ac:dyDescent="0.3">
      <c r="C116" s="46"/>
    </row>
    <row r="117" spans="3:3" ht="16.2" customHeight="1" x14ac:dyDescent="0.3">
      <c r="C117" s="46"/>
    </row>
    <row r="128" spans="3:3" ht="16.2" customHeight="1" x14ac:dyDescent="0.3">
      <c r="C128" s="46"/>
    </row>
  </sheetData>
  <mergeCells count="1">
    <mergeCell ref="C2:J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3.1Domestic(HT)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2026-01-16T03:54:39Z</dcterms:created>
  <dcterms:modified xsi:type="dcterms:W3CDTF">2026-01-28T09:31:32Z</dcterms:modified>
</cp:coreProperties>
</file>