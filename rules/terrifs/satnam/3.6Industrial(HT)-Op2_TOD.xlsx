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rutusoft\energy-tariff-calculation-engine-service\rules\terrifs\satnam\"/>
    </mc:Choice>
  </mc:AlternateContent>
  <xr:revisionPtr revIDLastSave="0" documentId="8_{9933C1AB-8974-4F76-A69F-C6B92F2E9BB8}" xr6:coauthVersionLast="47" xr6:coauthVersionMax="47" xr10:uidLastSave="{00000000-0000-0000-0000-000000000000}"/>
  <bookViews>
    <workbookView xWindow="-108" yWindow="-108" windowWidth="23256" windowHeight="12456" xr2:uid="{FA65B203-0FF9-4A53-ADA7-A6E2736EAECD}"/>
  </bookViews>
  <sheets>
    <sheet name="3.6Industrial(HT)-Op2_TO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4" i="1" l="1"/>
  <c r="M66" i="1"/>
  <c r="L66" i="1"/>
  <c r="K66" i="1"/>
  <c r="J66" i="1"/>
  <c r="C35" i="1"/>
  <c r="K27" i="1"/>
  <c r="K28" i="1" s="1"/>
  <c r="K29" i="1" s="1"/>
  <c r="E27" i="1"/>
  <c r="E28" i="1" s="1"/>
  <c r="E29" i="1" s="1"/>
  <c r="K25" i="1"/>
  <c r="K24" i="1"/>
  <c r="D20" i="1"/>
  <c r="D21" i="1" s="1"/>
  <c r="D22" i="1" s="1"/>
  <c r="D19" i="1"/>
  <c r="C36" i="1" l="1"/>
  <c r="C75" i="1"/>
  <c r="D35" i="1"/>
  <c r="F35" i="1"/>
  <c r="E35" i="1"/>
  <c r="H35" i="1" l="1"/>
  <c r="I35" i="1"/>
  <c r="G35" i="1"/>
  <c r="F36" i="1"/>
  <c r="I36" i="1" s="1"/>
  <c r="E36" i="1"/>
  <c r="H36" i="1" s="1"/>
  <c r="D36" i="1"/>
  <c r="G36" i="1" s="1"/>
  <c r="C37" i="1"/>
  <c r="N75" i="1"/>
  <c r="J75" i="1"/>
  <c r="I75" i="1"/>
  <c r="Q75" i="1"/>
  <c r="H75" i="1"/>
  <c r="G75" i="1"/>
  <c r="C76" i="1"/>
  <c r="O75" i="1"/>
  <c r="C38" i="1" l="1"/>
  <c r="F37" i="1"/>
  <c r="I37" i="1" s="1"/>
  <c r="E37" i="1"/>
  <c r="H37" i="1" s="1"/>
  <c r="D37" i="1"/>
  <c r="G37" i="1" s="1"/>
  <c r="E75" i="1"/>
  <c r="J76" i="1"/>
  <c r="I76" i="1"/>
  <c r="H76" i="1"/>
  <c r="G76" i="1"/>
  <c r="K76" i="1" s="1"/>
  <c r="C77" i="1"/>
  <c r="N76" i="1"/>
  <c r="Q76" i="1"/>
  <c r="O76" i="1"/>
  <c r="K75" i="1"/>
  <c r="R76" i="1" l="1"/>
  <c r="L76" i="1"/>
  <c r="M76" i="1" s="1"/>
  <c r="L75" i="1"/>
  <c r="M75" i="1" s="1"/>
  <c r="R75" i="1"/>
  <c r="E76" i="1"/>
  <c r="D76" i="1"/>
  <c r="F75" i="1"/>
  <c r="H77" i="1"/>
  <c r="G77" i="1"/>
  <c r="K77" i="1" s="1"/>
  <c r="C78" i="1"/>
  <c r="Q77" i="1"/>
  <c r="J77" i="1"/>
  <c r="O77" i="1"/>
  <c r="N77" i="1"/>
  <c r="I77" i="1"/>
  <c r="D38" i="1"/>
  <c r="C39" i="1"/>
  <c r="E38" i="1"/>
  <c r="F38" i="1"/>
  <c r="Q78" i="1" l="1"/>
  <c r="O78" i="1"/>
  <c r="N78" i="1"/>
  <c r="G78" i="1"/>
  <c r="H78" i="1"/>
  <c r="J78" i="1"/>
  <c r="I78" i="1"/>
  <c r="C79" i="1"/>
  <c r="H38" i="1"/>
  <c r="G38" i="1"/>
  <c r="I38" i="1"/>
  <c r="E77" i="1"/>
  <c r="D77" i="1"/>
  <c r="F76" i="1"/>
  <c r="R77" i="1"/>
  <c r="L77" i="1"/>
  <c r="M77" i="1" s="1"/>
  <c r="F39" i="1"/>
  <c r="I39" i="1" s="1"/>
  <c r="E39" i="1"/>
  <c r="H39" i="1" s="1"/>
  <c r="D39" i="1"/>
  <c r="G39" i="1" s="1"/>
  <c r="C40" i="1"/>
  <c r="K78" i="1" l="1"/>
  <c r="E78" i="1"/>
  <c r="D78" i="1"/>
  <c r="F77" i="1"/>
  <c r="N79" i="1"/>
  <c r="J79" i="1"/>
  <c r="I79" i="1"/>
  <c r="Q79" i="1"/>
  <c r="H79" i="1"/>
  <c r="G79" i="1"/>
  <c r="C80" i="1"/>
  <c r="O79" i="1"/>
  <c r="E40" i="1"/>
  <c r="H40" i="1" s="1"/>
  <c r="C41" i="1"/>
  <c r="F40" i="1"/>
  <c r="I40" i="1" s="1"/>
  <c r="D40" i="1"/>
  <c r="G40" i="1" s="1"/>
  <c r="F41" i="1" l="1"/>
  <c r="I41" i="1" s="1"/>
  <c r="E41" i="1"/>
  <c r="D41" i="1"/>
  <c r="G41" i="1" s="1"/>
  <c r="C42" i="1"/>
  <c r="J80" i="1"/>
  <c r="I80" i="1"/>
  <c r="H80" i="1"/>
  <c r="G80" i="1"/>
  <c r="K80" i="1" s="1"/>
  <c r="C81" i="1"/>
  <c r="Q80" i="1"/>
  <c r="N80" i="1"/>
  <c r="O80" i="1"/>
  <c r="R78" i="1"/>
  <c r="L78" i="1"/>
  <c r="M78" i="1" s="1"/>
  <c r="E79" i="1"/>
  <c r="F78" i="1"/>
  <c r="D79" i="1"/>
  <c r="K79" i="1"/>
  <c r="H81" i="1" l="1"/>
  <c r="G81" i="1"/>
  <c r="C82" i="1"/>
  <c r="Q81" i="1"/>
  <c r="O81" i="1"/>
  <c r="N81" i="1"/>
  <c r="I81" i="1"/>
  <c r="J81" i="1"/>
  <c r="L79" i="1"/>
  <c r="M79" i="1" s="1"/>
  <c r="R79" i="1"/>
  <c r="E80" i="1"/>
  <c r="D80" i="1"/>
  <c r="F79" i="1"/>
  <c r="C43" i="1"/>
  <c r="F42" i="1"/>
  <c r="I42" i="1" s="1"/>
  <c r="E42" i="1"/>
  <c r="H42" i="1" s="1"/>
  <c r="D42" i="1"/>
  <c r="G42" i="1" s="1"/>
  <c r="R80" i="1"/>
  <c r="L80" i="1"/>
  <c r="M80" i="1" s="1"/>
  <c r="H41" i="1"/>
  <c r="E43" i="1" l="1"/>
  <c r="H43" i="1" s="1"/>
  <c r="D43" i="1"/>
  <c r="G43" i="1" s="1"/>
  <c r="C44" i="1"/>
  <c r="F43" i="1"/>
  <c r="I43" i="1" s="1"/>
  <c r="Q82" i="1"/>
  <c r="O82" i="1"/>
  <c r="N82" i="1"/>
  <c r="H82" i="1"/>
  <c r="G82" i="1"/>
  <c r="J82" i="1"/>
  <c r="I82" i="1"/>
  <c r="C83" i="1"/>
  <c r="K81" i="1"/>
  <c r="E81" i="1"/>
  <c r="D81" i="1"/>
  <c r="F80" i="1"/>
  <c r="N83" i="1" l="1"/>
  <c r="J83" i="1"/>
  <c r="I83" i="1"/>
  <c r="H83" i="1"/>
  <c r="G83" i="1"/>
  <c r="K83" i="1" s="1"/>
  <c r="C84" i="1"/>
  <c r="O83" i="1"/>
  <c r="Q83" i="1"/>
  <c r="K82" i="1"/>
  <c r="C45" i="1"/>
  <c r="F44" i="1"/>
  <c r="I44" i="1" s="1"/>
  <c r="E44" i="1"/>
  <c r="H44" i="1" s="1"/>
  <c r="D44" i="1"/>
  <c r="G44" i="1" s="1"/>
  <c r="E82" i="1"/>
  <c r="D82" i="1"/>
  <c r="F81" i="1"/>
  <c r="R81" i="1"/>
  <c r="L81" i="1"/>
  <c r="M81" i="1" s="1"/>
  <c r="C46" i="1" l="1"/>
  <c r="F45" i="1"/>
  <c r="I45" i="1" s="1"/>
  <c r="E45" i="1"/>
  <c r="H45" i="1" s="1"/>
  <c r="D45" i="1"/>
  <c r="G45" i="1" s="1"/>
  <c r="J84" i="1"/>
  <c r="I84" i="1"/>
  <c r="H84" i="1"/>
  <c r="G84" i="1"/>
  <c r="K84" i="1" s="1"/>
  <c r="C85" i="1"/>
  <c r="Q84" i="1"/>
  <c r="O84" i="1"/>
  <c r="N84" i="1"/>
  <c r="E83" i="1"/>
  <c r="D83" i="1"/>
  <c r="F82" i="1"/>
  <c r="R82" i="1"/>
  <c r="L82" i="1"/>
  <c r="M82" i="1" s="1"/>
  <c r="R83" i="1"/>
  <c r="L83" i="1"/>
  <c r="M83" i="1" s="1"/>
  <c r="H85" i="1" l="1"/>
  <c r="G85" i="1"/>
  <c r="C86" i="1"/>
  <c r="Q85" i="1"/>
  <c r="O85" i="1"/>
  <c r="N85" i="1"/>
  <c r="I85" i="1"/>
  <c r="J85" i="1"/>
  <c r="R84" i="1"/>
  <c r="L84" i="1"/>
  <c r="M84" i="1" s="1"/>
  <c r="E84" i="1"/>
  <c r="D84" i="1"/>
  <c r="F83" i="1"/>
  <c r="F46" i="1"/>
  <c r="I46" i="1" s="1"/>
  <c r="E46" i="1"/>
  <c r="H46" i="1" s="1"/>
  <c r="D46" i="1"/>
  <c r="G46" i="1" s="1"/>
  <c r="C47" i="1"/>
  <c r="C48" i="1" l="1"/>
  <c r="D47" i="1"/>
  <c r="G47" i="1" s="1"/>
  <c r="F47" i="1"/>
  <c r="I47" i="1" s="1"/>
  <c r="E47" i="1"/>
  <c r="H47" i="1" s="1"/>
  <c r="Q86" i="1"/>
  <c r="O86" i="1"/>
  <c r="N86" i="1"/>
  <c r="H86" i="1"/>
  <c r="G86" i="1"/>
  <c r="J86" i="1"/>
  <c r="I86" i="1"/>
  <c r="C87" i="1"/>
  <c r="K85" i="1"/>
  <c r="E85" i="1"/>
  <c r="D85" i="1"/>
  <c r="F84" i="1"/>
  <c r="N87" i="1" l="1"/>
  <c r="J87" i="1"/>
  <c r="I87" i="1"/>
  <c r="Q87" i="1"/>
  <c r="H87" i="1"/>
  <c r="G87" i="1"/>
  <c r="K87" i="1" s="1"/>
  <c r="C88" i="1"/>
  <c r="O87" i="1"/>
  <c r="K86" i="1"/>
  <c r="E86" i="1"/>
  <c r="D86" i="1"/>
  <c r="F85" i="1"/>
  <c r="R85" i="1"/>
  <c r="L85" i="1"/>
  <c r="M85" i="1" s="1"/>
  <c r="F48" i="1"/>
  <c r="I48" i="1" s="1"/>
  <c r="E48" i="1"/>
  <c r="H48" i="1" s="1"/>
  <c r="D48" i="1"/>
  <c r="G48" i="1" s="1"/>
  <c r="C49" i="1"/>
  <c r="R86" i="1" l="1"/>
  <c r="L86" i="1"/>
  <c r="M86" i="1" s="1"/>
  <c r="E87" i="1"/>
  <c r="F86" i="1"/>
  <c r="D87" i="1"/>
  <c r="C50" i="1"/>
  <c r="F49" i="1"/>
  <c r="I49" i="1" s="1"/>
  <c r="E49" i="1"/>
  <c r="H49" i="1" s="1"/>
  <c r="D49" i="1"/>
  <c r="G49" i="1" s="1"/>
  <c r="J88" i="1"/>
  <c r="I88" i="1"/>
  <c r="H88" i="1"/>
  <c r="G88" i="1"/>
  <c r="N88" i="1"/>
  <c r="C89" i="1"/>
  <c r="Q88" i="1"/>
  <c r="L87" i="1"/>
  <c r="M87" i="1" s="1"/>
  <c r="R87" i="1"/>
  <c r="H89" i="1" l="1"/>
  <c r="G89" i="1"/>
  <c r="C90" i="1"/>
  <c r="Q89" i="1"/>
  <c r="N89" i="1"/>
  <c r="I89" i="1"/>
  <c r="J89" i="1"/>
  <c r="E88" i="1"/>
  <c r="D88" i="1"/>
  <c r="F87" i="1"/>
  <c r="D50" i="1"/>
  <c r="G50" i="1" s="1"/>
  <c r="F50" i="1"/>
  <c r="I50" i="1" s="1"/>
  <c r="C51" i="1"/>
  <c r="E50" i="1"/>
  <c r="H50" i="1" s="1"/>
  <c r="K88" i="1"/>
  <c r="R88" i="1" l="1"/>
  <c r="L88" i="1"/>
  <c r="M88" i="1" s="1"/>
  <c r="O88" i="1" s="1"/>
  <c r="Q90" i="1"/>
  <c r="N90" i="1"/>
  <c r="J90" i="1"/>
  <c r="I90" i="1"/>
  <c r="C91" i="1"/>
  <c r="H90" i="1"/>
  <c r="G90" i="1"/>
  <c r="K90" i="1" s="1"/>
  <c r="F51" i="1"/>
  <c r="I51" i="1" s="1"/>
  <c r="E51" i="1"/>
  <c r="H51" i="1" s="1"/>
  <c r="D51" i="1"/>
  <c r="G51" i="1" s="1"/>
  <c r="C52" i="1"/>
  <c r="K89" i="1"/>
  <c r="E89" i="1"/>
  <c r="D89" i="1"/>
  <c r="F88" i="1"/>
  <c r="E90" i="1" l="1"/>
  <c r="D90" i="1"/>
  <c r="F89" i="1"/>
  <c r="N91" i="1"/>
  <c r="J91" i="1"/>
  <c r="Q91" i="1"/>
  <c r="I91" i="1"/>
  <c r="H91" i="1"/>
  <c r="G91" i="1"/>
  <c r="K91" i="1" s="1"/>
  <c r="C92" i="1"/>
  <c r="R89" i="1"/>
  <c r="L89" i="1"/>
  <c r="M89" i="1" s="1"/>
  <c r="O89" i="1" s="1"/>
  <c r="O90" i="1" s="1"/>
  <c r="D52" i="1"/>
  <c r="G52" i="1" s="1"/>
  <c r="C53" i="1"/>
  <c r="F52" i="1"/>
  <c r="I52" i="1" s="1"/>
  <c r="E52" i="1"/>
  <c r="H52" i="1" s="1"/>
  <c r="R90" i="1"/>
  <c r="L90" i="1"/>
  <c r="M90" i="1" s="1"/>
  <c r="L91" i="1" l="1"/>
  <c r="M91" i="1" s="1"/>
  <c r="O91" i="1" s="1"/>
  <c r="R91" i="1"/>
  <c r="F53" i="1"/>
  <c r="I53" i="1" s="1"/>
  <c r="E53" i="1"/>
  <c r="H53" i="1" s="1"/>
  <c r="D53" i="1"/>
  <c r="G53" i="1" s="1"/>
  <c r="C54" i="1"/>
  <c r="E91" i="1"/>
  <c r="D91" i="1"/>
  <c r="F90" i="1"/>
  <c r="J92" i="1"/>
  <c r="I92" i="1"/>
  <c r="H92" i="1"/>
  <c r="G92" i="1"/>
  <c r="C93" i="1"/>
  <c r="Q92" i="1"/>
  <c r="N92" i="1"/>
  <c r="E92" i="1" l="1"/>
  <c r="D92" i="1"/>
  <c r="F91" i="1"/>
  <c r="C55" i="1"/>
  <c r="F54" i="1"/>
  <c r="I54" i="1" s="1"/>
  <c r="E54" i="1"/>
  <c r="H54" i="1" s="1"/>
  <c r="D54" i="1"/>
  <c r="G54" i="1" s="1"/>
  <c r="H93" i="1"/>
  <c r="G93" i="1"/>
  <c r="C94" i="1"/>
  <c r="Q93" i="1"/>
  <c r="J93" i="1"/>
  <c r="N93" i="1"/>
  <c r="I93" i="1"/>
  <c r="K92" i="1"/>
  <c r="E55" i="1" l="1"/>
  <c r="H55" i="1" s="1"/>
  <c r="D55" i="1"/>
  <c r="G55" i="1" s="1"/>
  <c r="C56" i="1"/>
  <c r="F55" i="1"/>
  <c r="I55" i="1" s="1"/>
  <c r="Q94" i="1"/>
  <c r="N94" i="1"/>
  <c r="H94" i="1"/>
  <c r="J94" i="1"/>
  <c r="I94" i="1"/>
  <c r="C95" i="1"/>
  <c r="G94" i="1"/>
  <c r="K94" i="1" s="1"/>
  <c r="K93" i="1"/>
  <c r="R92" i="1"/>
  <c r="L92" i="1"/>
  <c r="M92" i="1"/>
  <c r="O92" i="1" s="1"/>
  <c r="E93" i="1"/>
  <c r="D93" i="1"/>
  <c r="F92" i="1"/>
  <c r="R94" i="1" l="1"/>
  <c r="L94" i="1"/>
  <c r="M94" i="1" s="1"/>
  <c r="E94" i="1"/>
  <c r="D94" i="1"/>
  <c r="F93" i="1"/>
  <c r="C57" i="1"/>
  <c r="F56" i="1"/>
  <c r="I56" i="1" s="1"/>
  <c r="E56" i="1"/>
  <c r="H56" i="1" s="1"/>
  <c r="D56" i="1"/>
  <c r="G56" i="1" s="1"/>
  <c r="N95" i="1"/>
  <c r="J95" i="1"/>
  <c r="I95" i="1"/>
  <c r="H95" i="1"/>
  <c r="G95" i="1"/>
  <c r="K95" i="1" s="1"/>
  <c r="C96" i="1"/>
  <c r="Q95" i="1"/>
  <c r="R93" i="1"/>
  <c r="L93" i="1"/>
  <c r="M93" i="1" s="1"/>
  <c r="O93" i="1" s="1"/>
  <c r="O94" i="1" s="1"/>
  <c r="E57" i="1" l="1"/>
  <c r="H57" i="1" s="1"/>
  <c r="F57" i="1"/>
  <c r="I57" i="1" s="1"/>
  <c r="C58" i="1"/>
  <c r="D57" i="1"/>
  <c r="G57" i="1" s="1"/>
  <c r="D95" i="1"/>
  <c r="F94" i="1"/>
  <c r="E95" i="1"/>
  <c r="J96" i="1"/>
  <c r="I96" i="1"/>
  <c r="H96" i="1"/>
  <c r="G96" i="1"/>
  <c r="K96" i="1" s="1"/>
  <c r="C97" i="1"/>
  <c r="N96" i="1"/>
  <c r="Q96" i="1"/>
  <c r="L95" i="1"/>
  <c r="M95" i="1" s="1"/>
  <c r="O95" i="1" s="1"/>
  <c r="R95" i="1"/>
  <c r="E96" i="1" l="1"/>
  <c r="D96" i="1"/>
  <c r="F95" i="1"/>
  <c r="F58" i="1"/>
  <c r="I58" i="1" s="1"/>
  <c r="E58" i="1"/>
  <c r="H58" i="1" s="1"/>
  <c r="D58" i="1"/>
  <c r="G58" i="1" s="1"/>
  <c r="C59" i="1"/>
  <c r="R96" i="1"/>
  <c r="L96" i="1"/>
  <c r="M96" i="1" s="1"/>
  <c r="O96" i="1" s="1"/>
  <c r="H97" i="1"/>
  <c r="G97" i="1"/>
  <c r="C98" i="1"/>
  <c r="Q97" i="1"/>
  <c r="J97" i="1"/>
  <c r="N97" i="1"/>
  <c r="I97" i="1"/>
  <c r="C60" i="1" l="1"/>
  <c r="F59" i="1"/>
  <c r="I59" i="1" s="1"/>
  <c r="D59" i="1"/>
  <c r="G59" i="1" s="1"/>
  <c r="E59" i="1"/>
  <c r="H59" i="1" s="1"/>
  <c r="Q98" i="1"/>
  <c r="N98" i="1"/>
  <c r="J98" i="1"/>
  <c r="I98" i="1"/>
  <c r="C99" i="1"/>
  <c r="H98" i="1"/>
  <c r="G98" i="1"/>
  <c r="E97" i="1"/>
  <c r="D97" i="1"/>
  <c r="F96" i="1"/>
  <c r="K97" i="1"/>
  <c r="N99" i="1" l="1"/>
  <c r="Q99" i="1"/>
  <c r="J99" i="1"/>
  <c r="I99" i="1"/>
  <c r="H99" i="1"/>
  <c r="G99" i="1"/>
  <c r="K99" i="1" s="1"/>
  <c r="C100" i="1"/>
  <c r="R97" i="1"/>
  <c r="L97" i="1"/>
  <c r="M97" i="1" s="1"/>
  <c r="O97" i="1" s="1"/>
  <c r="E98" i="1"/>
  <c r="D98" i="1"/>
  <c r="F97" i="1"/>
  <c r="F60" i="1"/>
  <c r="I60" i="1" s="1"/>
  <c r="E60" i="1"/>
  <c r="H60" i="1" s="1"/>
  <c r="D60" i="1"/>
  <c r="G60" i="1" s="1"/>
  <c r="C61" i="1"/>
  <c r="K98" i="1"/>
  <c r="R98" i="1" l="1"/>
  <c r="L98" i="1"/>
  <c r="M98" i="1" s="1"/>
  <c r="O98" i="1" s="1"/>
  <c r="J100" i="1"/>
  <c r="I100" i="1"/>
  <c r="N100" i="1"/>
  <c r="H100" i="1"/>
  <c r="G100" i="1"/>
  <c r="C101" i="1"/>
  <c r="Q100" i="1"/>
  <c r="R99" i="1"/>
  <c r="L99" i="1"/>
  <c r="M99" i="1" s="1"/>
  <c r="E99" i="1"/>
  <c r="D99" i="1"/>
  <c r="F98" i="1"/>
  <c r="C62" i="1"/>
  <c r="F61" i="1"/>
  <c r="I61" i="1" s="1"/>
  <c r="E61" i="1"/>
  <c r="H61" i="1" s="1"/>
  <c r="D61" i="1"/>
  <c r="G61" i="1" s="1"/>
  <c r="O99" i="1" l="1"/>
  <c r="K100" i="1"/>
  <c r="H101" i="1"/>
  <c r="G101" i="1"/>
  <c r="C102" i="1"/>
  <c r="Q101" i="1"/>
  <c r="N101" i="1"/>
  <c r="J101" i="1"/>
  <c r="I101" i="1"/>
  <c r="D62" i="1"/>
  <c r="G62" i="1" s="1"/>
  <c r="F62" i="1"/>
  <c r="I62" i="1" s="1"/>
  <c r="C63" i="1"/>
  <c r="E62" i="1"/>
  <c r="H62" i="1" s="1"/>
  <c r="E100" i="1"/>
  <c r="D100" i="1"/>
  <c r="F99" i="1"/>
  <c r="Q102" i="1" l="1"/>
  <c r="N102" i="1"/>
  <c r="H102" i="1"/>
  <c r="G102" i="1"/>
  <c r="J102" i="1"/>
  <c r="I102" i="1"/>
  <c r="C103" i="1"/>
  <c r="K101" i="1"/>
  <c r="E101" i="1"/>
  <c r="D101" i="1"/>
  <c r="F100" i="1"/>
  <c r="R100" i="1"/>
  <c r="L100" i="1"/>
  <c r="M100" i="1" s="1"/>
  <c r="O100" i="1" s="1"/>
  <c r="F63" i="1"/>
  <c r="I63" i="1" s="1"/>
  <c r="E63" i="1"/>
  <c r="H63" i="1" s="1"/>
  <c r="D63" i="1"/>
  <c r="G63" i="1" s="1"/>
  <c r="C64" i="1"/>
  <c r="R101" i="1" l="1"/>
  <c r="L101" i="1"/>
  <c r="M101" i="1" s="1"/>
  <c r="O101" i="1" s="1"/>
  <c r="N103" i="1"/>
  <c r="J103" i="1"/>
  <c r="I103" i="1"/>
  <c r="H103" i="1"/>
  <c r="G103" i="1"/>
  <c r="K103" i="1" s="1"/>
  <c r="C104" i="1"/>
  <c r="Q103" i="1"/>
  <c r="D64" i="1"/>
  <c r="G64" i="1" s="1"/>
  <c r="C65" i="1"/>
  <c r="E64" i="1"/>
  <c r="H64" i="1" s="1"/>
  <c r="F64" i="1"/>
  <c r="I64" i="1" s="1"/>
  <c r="K102" i="1"/>
  <c r="E102" i="1"/>
  <c r="D102" i="1"/>
  <c r="F101" i="1"/>
  <c r="J104" i="1" l="1"/>
  <c r="I104" i="1"/>
  <c r="H104" i="1"/>
  <c r="G104" i="1"/>
  <c r="K104" i="1" s="1"/>
  <c r="C105" i="1"/>
  <c r="Q104" i="1"/>
  <c r="N104" i="1"/>
  <c r="L103" i="1"/>
  <c r="M103" i="1" s="1"/>
  <c r="R103" i="1"/>
  <c r="E103" i="1"/>
  <c r="D103" i="1"/>
  <c r="F102" i="1"/>
  <c r="R102" i="1"/>
  <c r="L102" i="1"/>
  <c r="M102" i="1" s="1"/>
  <c r="O102" i="1" s="1"/>
  <c r="F65" i="1"/>
  <c r="E65" i="1"/>
  <c r="D65" i="1"/>
  <c r="O103" i="1" l="1"/>
  <c r="G65" i="1"/>
  <c r="G66" i="1" s="1"/>
  <c r="D66" i="1"/>
  <c r="H65" i="1"/>
  <c r="H66" i="1" s="1"/>
  <c r="E66" i="1"/>
  <c r="I65" i="1"/>
  <c r="I66" i="1" s="1"/>
  <c r="F66" i="1"/>
  <c r="H105" i="1"/>
  <c r="G105" i="1"/>
  <c r="Q105" i="1"/>
  <c r="Q106" i="1" s="1"/>
  <c r="J105" i="1"/>
  <c r="N105" i="1"/>
  <c r="R104" i="1"/>
  <c r="L104" i="1"/>
  <c r="M104" i="1" s="1"/>
  <c r="E104" i="1"/>
  <c r="D104" i="1"/>
  <c r="F103" i="1"/>
  <c r="I105" i="1" l="1"/>
  <c r="K105" i="1"/>
  <c r="E105" i="1"/>
  <c r="D105" i="1"/>
  <c r="F104" i="1"/>
  <c r="O104" i="1"/>
  <c r="F105" i="1" l="1"/>
  <c r="R105" i="1"/>
  <c r="R106" i="1" s="1"/>
  <c r="L105" i="1"/>
  <c r="M105" i="1" s="1"/>
  <c r="O105" i="1" l="1"/>
  <c r="O10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Computer1</author>
  </authors>
  <commentList>
    <comment ref="N106" authorId="0" shapeId="0" xr:uid="{E4E48D5D-D644-4743-B45C-653A50774395}">
      <text>
        <r>
          <rPr>
            <b/>
            <sz val="9"/>
            <color indexed="81"/>
            <rFont val="Tahoma"/>
            <family val="2"/>
          </rPr>
          <t>Computer1:</t>
        </r>
        <r>
          <rPr>
            <sz val="9"/>
            <color indexed="81"/>
            <rFont val="Tahoma"/>
            <family val="2"/>
          </rPr>
          <t xml:space="preserve">
Reconcille at the end of the month for </t>
        </r>
      </text>
    </comment>
    <comment ref="Q106" authorId="0" shapeId="0" xr:uid="{EBB25B64-5B50-4D69-BD2A-B7303D853E12}">
      <text>
        <r>
          <rPr>
            <b/>
            <sz val="9"/>
            <color indexed="81"/>
            <rFont val="Tahoma"/>
            <family val="2"/>
          </rPr>
          <t>Computer1:</t>
        </r>
        <r>
          <rPr>
            <sz val="9"/>
            <color indexed="81"/>
            <rFont val="Tahoma"/>
            <family val="2"/>
          </rPr>
          <t xml:space="preserve">
Reconcille at the end of the month for </t>
        </r>
      </text>
    </comment>
  </commentList>
</comments>
</file>

<file path=xl/sharedStrings.xml><?xml version="1.0" encoding="utf-8"?>
<sst xmlns="http://schemas.openxmlformats.org/spreadsheetml/2006/main" count="120" uniqueCount="111">
  <si>
    <t xml:space="preserve">HT Category -6: Industrial Service </t>
  </si>
  <si>
    <t xml:space="preserve">Applicability: </t>
  </si>
  <si>
    <t>This Tariff is applicable for all the similar purpose as already defined in LT Category – 8 above and rates are as follows:</t>
  </si>
  <si>
    <t>HT Category -6: Industrial Service  Tariff Structure</t>
  </si>
  <si>
    <t>Energy Charges per month</t>
  </si>
  <si>
    <t>Normal TOD</t>
  </si>
  <si>
    <t xml:space="preserve">6.00 Hrs upto 17.00 Hrs </t>
  </si>
  <si>
    <t>per kvAh</t>
  </si>
  <si>
    <t>Peak TOD</t>
  </si>
  <si>
    <t xml:space="preserve">17.00 Hrs upto 22.00 Hrs </t>
  </si>
  <si>
    <t>Off-Peak Load TOD</t>
  </si>
  <si>
    <t>22.00 Hrs upto 6.00 Hrs</t>
  </si>
  <si>
    <t>Demand Charge</t>
  </si>
  <si>
    <t>per month per kVA of Billing Demand.</t>
  </si>
  <si>
    <t>Steps to Calculate Daily Charges for One Month</t>
  </si>
  <si>
    <t>STEP 1:</t>
  </si>
  <si>
    <t>Consumer Category:  Industrial Service   (HT)</t>
  </si>
  <si>
    <t>Load:Industrial Service (HT)</t>
  </si>
  <si>
    <t>30,000 – 80,000</t>
  </si>
  <si>
    <t>Kwh</t>
  </si>
  <si>
    <t>Usage Profile</t>
  </si>
  <si>
    <t>Monthly kWh</t>
  </si>
  <si>
    <t>Remarks</t>
  </si>
  <si>
    <t>Contracted Load</t>
  </si>
  <si>
    <t>kVA</t>
  </si>
  <si>
    <t>Low usage</t>
  </si>
  <si>
    <t>30,000 – 80,000 kWh</t>
  </si>
  <si>
    <t>Single shift / intermittent processing</t>
  </si>
  <si>
    <t>Installation Date</t>
  </si>
  <si>
    <t>Date</t>
  </si>
  <si>
    <t>Moderate usage</t>
  </si>
  <si>
    <t>80,000 – 200,000 kWh</t>
  </si>
  <si>
    <t>Regular production, multiple machines</t>
  </si>
  <si>
    <t>Multiplying Factor</t>
  </si>
  <si>
    <t>Higher usage</t>
  </si>
  <si>
    <t>200,000 – 500,000 kWh</t>
  </si>
  <si>
    <t>Long hours, heavy motor loads</t>
  </si>
  <si>
    <t>Current Month days</t>
  </si>
  <si>
    <t>Days</t>
  </si>
  <si>
    <t>Heavy (still HT)</t>
  </si>
  <si>
    <t>500,000 – 1,200,000 kWh</t>
  </si>
  <si>
    <t>Continuous / multi-shift operations</t>
  </si>
  <si>
    <t>Last Date of Month</t>
  </si>
  <si>
    <t>Bill Days</t>
  </si>
  <si>
    <t>Including Installation Day</t>
  </si>
  <si>
    <t>Bill factor</t>
  </si>
  <si>
    <t>Power Factor</t>
  </si>
  <si>
    <t>Type of Industrial Consumer</t>
  </si>
  <si>
    <t>Typical Range (kVA)</t>
  </si>
  <si>
    <t>Modelling Sweet Spot</t>
  </si>
  <si>
    <t>Opening Balance</t>
  </si>
  <si>
    <t>Contract Demand</t>
  </si>
  <si>
    <t>KVA</t>
  </si>
  <si>
    <t>Small HT industry (small factory / cold storage / mill)</t>
  </si>
  <si>
    <t>50 – 150 kVA</t>
  </si>
  <si>
    <t>100 kVA</t>
  </si>
  <si>
    <t>Max Demand</t>
  </si>
  <si>
    <t>Medium industry (multiple motors, regular production)</t>
  </si>
  <si>
    <t>150 – 400 kVA</t>
  </si>
  <si>
    <t>250 kVA</t>
  </si>
  <si>
    <t>STEP2:</t>
  </si>
  <si>
    <t>Calculate Fixed Charges</t>
  </si>
  <si>
    <t>Large industry (continuous operations / higher connected load)</t>
  </si>
  <si>
    <t>400 – 800 kVA</t>
  </si>
  <si>
    <t>600 kVA</t>
  </si>
  <si>
    <t>Demand Charge ( revised)</t>
  </si>
  <si>
    <t>Very large industry (heavy machinery, long shifts)</t>
  </si>
  <si>
    <t>800 – 1,500 kVA</t>
  </si>
  <si>
    <t>1,000 kVA</t>
  </si>
  <si>
    <t>Adjusted Fixed Charges for month</t>
  </si>
  <si>
    <t>// Existing Fixed Charges * Bill Factor//</t>
  </si>
  <si>
    <t>Major industrial plant (often special arrangements)</t>
  </si>
  <si>
    <t>1,500 – 3,000 kVA</t>
  </si>
  <si>
    <t>2,000 kVA</t>
  </si>
  <si>
    <t>Daily Fixed Charges</t>
  </si>
  <si>
    <t>// Adjustment Fixed Charges /Bill Days//</t>
  </si>
  <si>
    <t>Revised Daily Fixed Charges</t>
  </si>
  <si>
    <t>STEP3:</t>
  </si>
  <si>
    <t xml:space="preserve">Sample Daily Consumption Data </t>
  </si>
  <si>
    <t xml:space="preserve">Daily Consumption (kWh)
Normal TOD
6.00 Hrs upto 17.00 Hrs </t>
  </si>
  <si>
    <t xml:space="preserve">Daily Consumption (kWh)
Peak TOD
17.00 Hrs upto 22.00 Hrs </t>
  </si>
  <si>
    <t>Daily Consumption (kWh)
Off-Peak Load TOD
22.00 Hrs upto 6.00 Hrs</t>
  </si>
  <si>
    <t xml:space="preserve">Daily Consumption (kvAh)
Normal TOD
6.00 Hrs upto 17.00 Hrs </t>
  </si>
  <si>
    <t xml:space="preserve">Daily Consumption (kvAh)
Peak TOD
17.00 Hrs upto 22.00 Hrs </t>
  </si>
  <si>
    <t>Daily Consumption (kvAh)
Off-Peak Load TOD
22.00 Hrs upto 6.00 Hrs</t>
  </si>
  <si>
    <t>Max Demand (kVA)</t>
  </si>
  <si>
    <t xml:space="preserve">Sample Data from HES
Normal TOD
6.00 Hrs upto 17.00 Hrs </t>
  </si>
  <si>
    <t xml:space="preserve">Sample Data from HES
Peak TOD
17.00 Hrs upto 22.00 Hrs </t>
  </si>
  <si>
    <t>Sample Data from HES
Off-Peak Load TOD
22.00 Hrs upto 6.00 Hrs</t>
  </si>
  <si>
    <t>Example Calculation</t>
  </si>
  <si>
    <t>Previous Reading
(kvAh)</t>
  </si>
  <si>
    <t>Current Reading (kvAh)</t>
  </si>
  <si>
    <t>Unit Consumed
(kvAh)</t>
  </si>
  <si>
    <t>Electricity Charges</t>
  </si>
  <si>
    <t>Demand Charges</t>
  </si>
  <si>
    <t>Gross Bill</t>
  </si>
  <si>
    <t xml:space="preserve">Surcharge
</t>
  </si>
  <si>
    <t xml:space="preserve">Gross Total </t>
  </si>
  <si>
    <t xml:space="preserve">Recharge </t>
  </si>
  <si>
    <t>Closing Balance</t>
  </si>
  <si>
    <t>Revised Demand Charges</t>
  </si>
  <si>
    <t xml:space="preserve">Revised Surcharge </t>
  </si>
  <si>
    <t xml:space="preserve">Normal TOD
6.00 Hrs upto 17.00 Hrs </t>
  </si>
  <si>
    <t xml:space="preserve">Peak TOD
17.00 Hrs upto 22.00 Hrs </t>
  </si>
  <si>
    <t>Off-Peak Load TOD
22.00 Hrs upto 6.00 Hrs</t>
  </si>
  <si>
    <t>= kvAh Consumed X Unit Rate of kvAh</t>
  </si>
  <si>
    <t>=Demand Charges (  kVA X Demand Charges) + Based on Billfactor and Start Date</t>
  </si>
  <si>
    <t>=Fixed Charges +Electricity Charges</t>
  </si>
  <si>
    <t>=Gross Bill*Surchare %</t>
  </si>
  <si>
    <t>=Gross Bill + Surcharge</t>
  </si>
  <si>
    <t>=Revised Demand Charges ( Max  kVA X Demand Charges) + Based on Billfactor and 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</si>
</sst>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[$₹-4009]\ #,##0.00;[$₹-4009]\ \-#,##0.00"/>
    <numFmt numFmtId="165" formatCode="0.0000"/>
    <numFmt numFmtId="166" formatCode="[$₹-4009]\ #,##0;[$₹-4009]\ \-#,##0"/>
    <numFmt numFmtId="167" formatCode="_ * #,##0.0000_ ;_ * \-#,##0.000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8">
    <xf numFmtId="0" fontId="0" fillId="0" borderId="0" xfId="0"/>
    <xf numFmtId="0" fontId="2" fillId="2" borderId="0" xfId="0" applyFont="1" applyFill="1"/>
    <xf numFmtId="0" fontId="2" fillId="0" borderId="0" xfId="0" applyFont="1" applyAlignment="1">
      <alignment horizontal="right" vertical="center"/>
    </xf>
    <xf numFmtId="0" fontId="2" fillId="3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 applyAlignment="1">
      <alignment horizontal="right"/>
    </xf>
    <xf numFmtId="0" fontId="2" fillId="3" borderId="0" xfId="0" applyFont="1" applyFill="1" applyAlignment="1">
      <alignment horizontal="center"/>
    </xf>
    <xf numFmtId="164" fontId="2" fillId="3" borderId="0" xfId="0" applyNumberFormat="1" applyFont="1" applyFill="1"/>
    <xf numFmtId="0" fontId="0" fillId="3" borderId="0" xfId="0" applyFill="1"/>
    <xf numFmtId="0" fontId="0" fillId="3" borderId="5" xfId="0" applyFill="1" applyBorder="1"/>
    <xf numFmtId="0" fontId="2" fillId="3" borderId="0" xfId="0" applyFont="1" applyFill="1"/>
    <xf numFmtId="0" fontId="2" fillId="3" borderId="4" xfId="0" applyFont="1" applyFill="1" applyBorder="1"/>
    <xf numFmtId="0" fontId="2" fillId="3" borderId="6" xfId="0" applyFont="1" applyFill="1" applyBorder="1"/>
    <xf numFmtId="0" fontId="0" fillId="3" borderId="7" xfId="0" applyFill="1" applyBorder="1"/>
    <xf numFmtId="0" fontId="0" fillId="3" borderId="8" xfId="0" applyFill="1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/>
    <xf numFmtId="0" fontId="2" fillId="0" borderId="0" xfId="0" applyFont="1"/>
    <xf numFmtId="0" fontId="0" fillId="0" borderId="0" xfId="0" applyAlignment="1">
      <alignment horizontal="right"/>
    </xf>
    <xf numFmtId="0" fontId="2" fillId="0" borderId="9" xfId="0" applyFont="1" applyBorder="1" applyAlignment="1">
      <alignment horizontal="center" vertical="center" wrapText="1"/>
    </xf>
    <xf numFmtId="0" fontId="2" fillId="4" borderId="0" xfId="0" applyFont="1" applyFill="1" applyAlignment="1">
      <alignment horizontal="right"/>
    </xf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horizontal="center" vertical="center" wrapText="1"/>
    </xf>
    <xf numFmtId="14" fontId="2" fillId="4" borderId="0" xfId="0" applyNumberFormat="1" applyFont="1" applyFill="1"/>
    <xf numFmtId="1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65" fontId="0" fillId="0" borderId="0" xfId="0" applyNumberFormat="1"/>
    <xf numFmtId="166" fontId="2" fillId="4" borderId="0" xfId="0" applyNumberFormat="1" applyFont="1" applyFill="1"/>
    <xf numFmtId="0" fontId="0" fillId="0" borderId="1" xfId="0" applyBorder="1"/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2" borderId="9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vertical="center" wrapText="1"/>
    </xf>
    <xf numFmtId="14" fontId="0" fillId="5" borderId="9" xfId="0" applyNumberFormat="1" applyFill="1" applyBorder="1" applyAlignment="1">
      <alignment horizontal="center"/>
    </xf>
    <xf numFmtId="2" fontId="0" fillId="5" borderId="9" xfId="0" applyNumberFormat="1" applyFill="1" applyBorder="1" applyAlignment="1">
      <alignment horizontal="center"/>
    </xf>
    <xf numFmtId="2" fontId="0" fillId="6" borderId="9" xfId="0" applyNumberFormat="1" applyFill="1" applyBorder="1" applyAlignment="1">
      <alignment horizontal="center"/>
    </xf>
    <xf numFmtId="17" fontId="0" fillId="0" borderId="0" xfId="0" applyNumberFormat="1"/>
    <xf numFmtId="3" fontId="0" fillId="0" borderId="0" xfId="0" applyNumberFormat="1"/>
    <xf numFmtId="2" fontId="0" fillId="7" borderId="9" xfId="0" applyNumberForma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9" fontId="2" fillId="8" borderId="0" xfId="0" applyNumberFormat="1" applyFont="1" applyFill="1" applyAlignment="1">
      <alignment horizontal="center"/>
    </xf>
    <xf numFmtId="166" fontId="0" fillId="0" borderId="0" xfId="0" applyNumberFormat="1"/>
    <xf numFmtId="14" fontId="2" fillId="2" borderId="10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167" fontId="0" fillId="0" borderId="0" xfId="1" applyNumberFormat="1" applyFont="1" applyAlignment="1">
      <alignment horizontal="center"/>
    </xf>
    <xf numFmtId="0" fontId="2" fillId="2" borderId="11" xfId="0" quotePrefix="1" applyFont="1" applyFill="1" applyBorder="1" applyAlignment="1">
      <alignment horizontal="center" vertical="top" wrapText="1"/>
    </xf>
    <xf numFmtId="0" fontId="2" fillId="2" borderId="10" xfId="0" quotePrefix="1" applyFont="1" applyFill="1" applyBorder="1" applyAlignment="1">
      <alignment horizontal="center" vertical="top" wrapText="1"/>
    </xf>
    <xf numFmtId="14" fontId="0" fillId="2" borderId="10" xfId="0" applyNumberFormat="1" applyFill="1" applyBorder="1" applyAlignment="1">
      <alignment horizontal="center" vertical="top"/>
    </xf>
    <xf numFmtId="0" fontId="0" fillId="2" borderId="10" xfId="0" applyFill="1" applyBorder="1" applyAlignment="1">
      <alignment horizontal="center" vertical="top"/>
    </xf>
    <xf numFmtId="0" fontId="2" fillId="2" borderId="9" xfId="0" quotePrefix="1" applyFont="1" applyFill="1" applyBorder="1" applyAlignment="1">
      <alignment horizontal="center" vertical="top" wrapText="1"/>
    </xf>
    <xf numFmtId="0" fontId="2" fillId="2" borderId="10" xfId="0" quotePrefix="1" applyFont="1" applyFill="1" applyBorder="1" applyAlignment="1">
      <alignment horizontal="center" vertical="top"/>
    </xf>
    <xf numFmtId="166" fontId="2" fillId="2" borderId="10" xfId="0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 vertical="top"/>
    </xf>
    <xf numFmtId="2" fontId="0" fillId="0" borderId="0" xfId="0" applyNumberFormat="1" applyAlignment="1">
      <alignment horizontal="center"/>
    </xf>
    <xf numFmtId="2" fontId="0" fillId="0" borderId="4" xfId="1" applyNumberFormat="1" applyFont="1" applyBorder="1" applyAlignment="1">
      <alignment horizontal="center"/>
    </xf>
    <xf numFmtId="2" fontId="0" fillId="0" borderId="0" xfId="1" applyNumberFormat="1" applyFont="1" applyAlignment="1">
      <alignment horizontal="center"/>
    </xf>
    <xf numFmtId="165" fontId="0" fillId="0" borderId="12" xfId="1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1" applyNumberFormat="1" applyFont="1" applyAlignment="1">
      <alignment horizontal="center"/>
    </xf>
    <xf numFmtId="0" fontId="0" fillId="0" borderId="4" xfId="0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167" fontId="0" fillId="7" borderId="0" xfId="1" applyNumberFormat="1" applyFont="1" applyFill="1" applyAlignment="1">
      <alignment horizontal="center"/>
    </xf>
    <xf numFmtId="2" fontId="0" fillId="7" borderId="0" xfId="1" applyNumberFormat="1" applyFont="1" applyFill="1" applyAlignment="1">
      <alignment horizontal="center" vertical="center"/>
    </xf>
    <xf numFmtId="0" fontId="0" fillId="0" borderId="0" xfId="0" applyAlignment="1">
      <alignment horizontal="left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160020</xdr:colOff>
      <xdr:row>0</xdr:row>
      <xdr:rowOff>107984</xdr:rowOff>
    </xdr:from>
    <xdr:to>
      <xdr:col>13</xdr:col>
      <xdr:colOff>301980</xdr:colOff>
      <xdr:row>10</xdr:row>
      <xdr:rowOff>143363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027DF2-8A92-4C20-B942-2144A12A8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5595" y="109889"/>
          <a:ext cx="4205325" cy="19994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2D221-12E9-457E-B97D-DB8E777E959E}">
  <sheetPr>
    <tabColor rgb="FF0070C0"/>
  </sheetPr>
  <dimension ref="B1:S133"/>
  <sheetViews>
    <sheetView showGridLines="0" tabSelected="1" topLeftCell="J65" zoomScaleNormal="100" workbookViewId="0">
      <selection activeCell="C72" sqref="C72"/>
    </sheetView>
  </sheetViews>
  <sheetFormatPr defaultRowHeight="16.2" customHeight="1" x14ac:dyDescent="0.3"/>
  <cols>
    <col min="2" max="2" width="28" customWidth="1"/>
    <col min="3" max="3" width="31.6640625" customWidth="1"/>
    <col min="4" max="4" width="21.33203125" customWidth="1"/>
    <col min="5" max="5" width="18.88671875" customWidth="1"/>
    <col min="6" max="6" width="15" customWidth="1"/>
    <col min="7" max="7" width="18.44140625" customWidth="1"/>
    <col min="8" max="8" width="21.33203125" customWidth="1"/>
    <col min="9" max="9" width="20.6640625" customWidth="1"/>
    <col min="10" max="10" width="27.5546875" customWidth="1"/>
    <col min="11" max="11" width="20.5546875" bestFit="1" customWidth="1"/>
    <col min="12" max="12" width="21" customWidth="1"/>
    <col min="13" max="13" width="19.33203125" customWidth="1"/>
    <col min="14" max="14" width="14.109375" customWidth="1"/>
    <col min="15" max="15" width="28" customWidth="1"/>
    <col min="16" max="16" width="68.5546875" customWidth="1"/>
    <col min="17" max="17" width="23.33203125" customWidth="1"/>
    <col min="18" max="18" width="17" customWidth="1"/>
  </cols>
  <sheetData>
    <row r="1" spans="2:18" ht="16.2" customHeight="1" x14ac:dyDescent="0.3">
      <c r="B1" s="1" t="s">
        <v>0</v>
      </c>
      <c r="C1" s="1"/>
    </row>
    <row r="2" spans="2:18" ht="14.4" x14ac:dyDescent="0.3">
      <c r="B2" s="2" t="s">
        <v>1</v>
      </c>
      <c r="C2" s="77" t="s">
        <v>2</v>
      </c>
      <c r="D2" s="77"/>
      <c r="E2" s="77"/>
      <c r="F2" s="77"/>
      <c r="G2" s="77"/>
      <c r="H2" s="77"/>
      <c r="I2" s="77"/>
      <c r="J2" s="77"/>
    </row>
    <row r="4" spans="2:18" ht="16.2" customHeight="1" x14ac:dyDescent="0.3">
      <c r="B4" s="1" t="s">
        <v>3</v>
      </c>
      <c r="C4" s="1"/>
      <c r="D4" s="1"/>
    </row>
    <row r="5" spans="2:18" ht="16.2" customHeight="1" x14ac:dyDescent="0.3">
      <c r="C5" s="3" t="s">
        <v>4</v>
      </c>
      <c r="D5" s="4"/>
      <c r="E5" s="4"/>
      <c r="F5" s="4"/>
      <c r="G5" s="4"/>
      <c r="H5" s="4"/>
      <c r="I5" s="4"/>
      <c r="J5" s="5"/>
    </row>
    <row r="6" spans="2:18" ht="16.2" customHeight="1" x14ac:dyDescent="0.3">
      <c r="C6" s="6" t="s">
        <v>5</v>
      </c>
      <c r="D6" s="7" t="s">
        <v>6</v>
      </c>
      <c r="E6" s="8">
        <v>10.050000000000001</v>
      </c>
      <c r="F6" s="9" t="s">
        <v>7</v>
      </c>
      <c r="G6" s="9"/>
      <c r="H6" s="9"/>
      <c r="I6" s="9"/>
      <c r="J6" s="10"/>
    </row>
    <row r="7" spans="2:18" ht="16.2" customHeight="1" x14ac:dyDescent="0.3">
      <c r="C7" s="6" t="s">
        <v>8</v>
      </c>
      <c r="D7" s="11" t="s">
        <v>9</v>
      </c>
      <c r="E7" s="8">
        <v>11.55</v>
      </c>
      <c r="F7" s="9" t="s">
        <v>7</v>
      </c>
      <c r="G7" s="9"/>
      <c r="H7" s="9"/>
      <c r="I7" s="9"/>
      <c r="J7" s="10"/>
    </row>
    <row r="8" spans="2:18" ht="16.2" customHeight="1" x14ac:dyDescent="0.3">
      <c r="C8" s="6" t="s">
        <v>10</v>
      </c>
      <c r="D8" s="11" t="s">
        <v>11</v>
      </c>
      <c r="E8" s="8">
        <v>8.5500000000000007</v>
      </c>
      <c r="F8" s="9" t="s">
        <v>7</v>
      </c>
      <c r="G8" s="9"/>
      <c r="H8" s="9"/>
      <c r="I8" s="9"/>
      <c r="J8" s="10"/>
    </row>
    <row r="9" spans="2:18" ht="16.2" customHeight="1" x14ac:dyDescent="0.3">
      <c r="C9" s="12" t="s">
        <v>12</v>
      </c>
      <c r="D9" s="9"/>
      <c r="E9" s="8">
        <v>80</v>
      </c>
      <c r="F9" s="9" t="s">
        <v>13</v>
      </c>
      <c r="G9" s="9"/>
      <c r="H9" s="9"/>
      <c r="I9" s="9"/>
      <c r="J9" s="10"/>
    </row>
    <row r="10" spans="2:18" ht="16.2" customHeight="1" x14ac:dyDescent="0.3">
      <c r="C10" s="13"/>
      <c r="D10" s="14"/>
      <c r="E10" s="14"/>
      <c r="F10" s="14"/>
      <c r="G10" s="14"/>
      <c r="H10" s="14"/>
      <c r="I10" s="14"/>
      <c r="J10" s="15"/>
    </row>
    <row r="11" spans="2:18" ht="16.2" customHeight="1" x14ac:dyDescent="0.3">
      <c r="P11" s="16"/>
      <c r="Q11" s="16"/>
      <c r="R11" s="16"/>
    </row>
    <row r="12" spans="2:18" ht="16.2" customHeight="1" x14ac:dyDescent="0.3">
      <c r="P12" s="17"/>
      <c r="Q12" s="18"/>
      <c r="R12" s="17"/>
    </row>
    <row r="13" spans="2:18" ht="16.2" customHeight="1" x14ac:dyDescent="0.3">
      <c r="B13" s="1" t="s">
        <v>14</v>
      </c>
      <c r="C13" s="1"/>
      <c r="D13" s="19"/>
      <c r="P13" s="17"/>
      <c r="Q13" s="18"/>
      <c r="R13" s="17"/>
    </row>
    <row r="14" spans="2:18" ht="16.2" customHeight="1" x14ac:dyDescent="0.3">
      <c r="B14" s="20" t="s">
        <v>15</v>
      </c>
      <c r="C14" s="1" t="s">
        <v>16</v>
      </c>
      <c r="D14" s="19"/>
      <c r="P14" s="17"/>
      <c r="Q14" s="18"/>
      <c r="R14" s="17"/>
    </row>
    <row r="15" spans="2:18" ht="16.2" customHeight="1" x14ac:dyDescent="0.3">
      <c r="C15" t="s">
        <v>17</v>
      </c>
      <c r="D15" s="21" t="s">
        <v>18</v>
      </c>
      <c r="E15" t="s">
        <v>19</v>
      </c>
      <c r="P15" s="22" t="s">
        <v>20</v>
      </c>
      <c r="Q15" s="22" t="s">
        <v>21</v>
      </c>
      <c r="R15" s="22" t="s">
        <v>22</v>
      </c>
    </row>
    <row r="16" spans="2:18" ht="16.2" customHeight="1" x14ac:dyDescent="0.3">
      <c r="C16" t="s">
        <v>23</v>
      </c>
      <c r="D16" s="23">
        <v>100</v>
      </c>
      <c r="E16" t="s">
        <v>24</v>
      </c>
      <c r="P16" s="24" t="s">
        <v>25</v>
      </c>
      <c r="Q16" s="25" t="s">
        <v>26</v>
      </c>
      <c r="R16" s="25" t="s">
        <v>27</v>
      </c>
    </row>
    <row r="17" spans="2:18" ht="16.2" customHeight="1" x14ac:dyDescent="0.3">
      <c r="C17" t="s">
        <v>28</v>
      </c>
      <c r="D17" s="26">
        <v>46005</v>
      </c>
      <c r="E17" t="s">
        <v>29</v>
      </c>
      <c r="P17" s="24" t="s">
        <v>30</v>
      </c>
      <c r="Q17" s="25" t="s">
        <v>31</v>
      </c>
      <c r="R17" s="25" t="s">
        <v>32</v>
      </c>
    </row>
    <row r="18" spans="2:18" ht="16.2" customHeight="1" x14ac:dyDescent="0.3">
      <c r="C18" t="s">
        <v>33</v>
      </c>
      <c r="D18" s="23">
        <v>1</v>
      </c>
      <c r="P18" s="24" t="s">
        <v>34</v>
      </c>
      <c r="Q18" s="25" t="s">
        <v>35</v>
      </c>
      <c r="R18" s="25" t="s">
        <v>36</v>
      </c>
    </row>
    <row r="19" spans="2:18" ht="28.8" x14ac:dyDescent="0.3">
      <c r="C19" t="s">
        <v>37</v>
      </c>
      <c r="D19" s="21">
        <f>DAY(EOMONTH(D17,0))</f>
        <v>31</v>
      </c>
      <c r="E19" t="s">
        <v>38</v>
      </c>
      <c r="P19" s="24" t="s">
        <v>39</v>
      </c>
      <c r="Q19" s="25" t="s">
        <v>40</v>
      </c>
      <c r="R19" s="25" t="s">
        <v>41</v>
      </c>
    </row>
    <row r="20" spans="2:18" ht="14.4" x14ac:dyDescent="0.3">
      <c r="C20" t="s">
        <v>42</v>
      </c>
      <c r="D20" s="27">
        <f>EOMONTH(D17,0)</f>
        <v>46022</v>
      </c>
      <c r="P20" s="24"/>
      <c r="Q20" s="25"/>
      <c r="R20" s="25"/>
    </row>
    <row r="21" spans="2:18" ht="16.2" customHeight="1" x14ac:dyDescent="0.3">
      <c r="C21" t="s">
        <v>43</v>
      </c>
      <c r="D21">
        <f>D20-D17+1</f>
        <v>18</v>
      </c>
      <c r="E21" t="s">
        <v>44</v>
      </c>
      <c r="Q21" s="28"/>
    </row>
    <row r="22" spans="2:18" ht="16.2" customHeight="1" x14ac:dyDescent="0.3">
      <c r="C22" t="s">
        <v>45</v>
      </c>
      <c r="D22" s="29">
        <f>ROUNDUP(D21/D19,4)</f>
        <v>0.58069999999999999</v>
      </c>
      <c r="Q22" s="28"/>
    </row>
    <row r="23" spans="2:18" ht="16.2" customHeight="1" x14ac:dyDescent="0.3">
      <c r="C23" t="s">
        <v>46</v>
      </c>
      <c r="D23" s="23">
        <v>0.99</v>
      </c>
      <c r="P23" s="22" t="s">
        <v>47</v>
      </c>
      <c r="Q23" s="22" t="s">
        <v>48</v>
      </c>
      <c r="R23" s="22" t="s">
        <v>49</v>
      </c>
    </row>
    <row r="24" spans="2:18" ht="16.2" customHeight="1" x14ac:dyDescent="0.3">
      <c r="C24" t="s">
        <v>50</v>
      </c>
      <c r="D24" s="30">
        <v>250000</v>
      </c>
      <c r="I24" s="31"/>
      <c r="J24" s="32" t="s">
        <v>51</v>
      </c>
      <c r="K24" s="33">
        <f>D16</f>
        <v>100</v>
      </c>
      <c r="L24" s="34" t="s">
        <v>52</v>
      </c>
      <c r="P24" s="24" t="s">
        <v>53</v>
      </c>
      <c r="Q24" s="25" t="s">
        <v>54</v>
      </c>
      <c r="R24" s="25" t="s">
        <v>55</v>
      </c>
    </row>
    <row r="25" spans="2:18" ht="16.2" customHeight="1" x14ac:dyDescent="0.3">
      <c r="I25" s="35"/>
      <c r="J25" s="21" t="s">
        <v>56</v>
      </c>
      <c r="K25" s="28">
        <f>MAX(J35:J65)</f>
        <v>120</v>
      </c>
      <c r="L25" s="36" t="s">
        <v>52</v>
      </c>
      <c r="P25" s="24" t="s">
        <v>57</v>
      </c>
      <c r="Q25" s="25" t="s">
        <v>58</v>
      </c>
      <c r="R25" s="25" t="s">
        <v>59</v>
      </c>
    </row>
    <row r="26" spans="2:18" ht="16.2" customHeight="1" x14ac:dyDescent="0.3">
      <c r="B26" s="20" t="s">
        <v>60</v>
      </c>
      <c r="C26" s="1" t="s">
        <v>61</v>
      </c>
      <c r="D26" s="19"/>
      <c r="I26" s="35"/>
      <c r="L26" s="36"/>
      <c r="P26" s="24" t="s">
        <v>62</v>
      </c>
      <c r="Q26" s="25" t="s">
        <v>63</v>
      </c>
      <c r="R26" s="25" t="s">
        <v>64</v>
      </c>
    </row>
    <row r="27" spans="2:18" ht="16.2" customHeight="1" x14ac:dyDescent="0.3">
      <c r="D27" s="21" t="s">
        <v>12</v>
      </c>
      <c r="E27" s="37">
        <f>E9*D16</f>
        <v>8000</v>
      </c>
      <c r="I27" s="35"/>
      <c r="J27" s="21" t="s">
        <v>65</v>
      </c>
      <c r="K27" s="38">
        <f>MAX(K24,K25)*E9</f>
        <v>9600</v>
      </c>
      <c r="L27" s="36"/>
      <c r="P27" s="24" t="s">
        <v>66</v>
      </c>
      <c r="Q27" s="25" t="s">
        <v>67</v>
      </c>
      <c r="R27" s="25" t="s">
        <v>68</v>
      </c>
    </row>
    <row r="28" spans="2:18" ht="16.2" customHeight="1" x14ac:dyDescent="0.3">
      <c r="D28" s="21" t="s">
        <v>69</v>
      </c>
      <c r="E28" s="37">
        <f>E27*D22</f>
        <v>4645.6000000000004</v>
      </c>
      <c r="F28" t="s">
        <v>70</v>
      </c>
      <c r="I28" s="35"/>
      <c r="J28" s="21" t="s">
        <v>69</v>
      </c>
      <c r="K28" s="38">
        <f>K27*D22</f>
        <v>5574.72</v>
      </c>
      <c r="L28" s="36"/>
      <c r="P28" s="24" t="s">
        <v>71</v>
      </c>
      <c r="Q28" s="25" t="s">
        <v>72</v>
      </c>
      <c r="R28" s="25" t="s">
        <v>73</v>
      </c>
    </row>
    <row r="29" spans="2:18" ht="16.2" customHeight="1" x14ac:dyDescent="0.3">
      <c r="D29" s="21" t="s">
        <v>74</v>
      </c>
      <c r="E29" s="37">
        <f>ROUNDUP(E28/D21,4)</f>
        <v>258.08889999999997</v>
      </c>
      <c r="F29" t="s">
        <v>75</v>
      </c>
      <c r="I29" s="35"/>
      <c r="J29" s="21" t="s">
        <v>76</v>
      </c>
      <c r="K29" s="38">
        <f>K28/D21</f>
        <v>309.70666666666671</v>
      </c>
      <c r="L29" s="36"/>
      <c r="P29" s="24"/>
      <c r="Q29" s="25"/>
      <c r="R29" s="25"/>
    </row>
    <row r="30" spans="2:18" ht="16.2" customHeight="1" x14ac:dyDescent="0.3">
      <c r="I30" s="39"/>
      <c r="J30" s="40"/>
      <c r="K30" s="40"/>
      <c r="L30" s="41"/>
    </row>
    <row r="32" spans="2:18" ht="16.2" customHeight="1" x14ac:dyDescent="0.3">
      <c r="B32" s="20" t="s">
        <v>77</v>
      </c>
      <c r="C32" s="1" t="s">
        <v>78</v>
      </c>
      <c r="D32" s="19"/>
    </row>
    <row r="34" spans="3:19" ht="100.8" x14ac:dyDescent="0.3">
      <c r="C34" s="42" t="s">
        <v>29</v>
      </c>
      <c r="D34" s="43" t="s">
        <v>79</v>
      </c>
      <c r="E34" s="43" t="s">
        <v>80</v>
      </c>
      <c r="F34" s="43" t="s">
        <v>81</v>
      </c>
      <c r="G34" s="43" t="s">
        <v>82</v>
      </c>
      <c r="H34" s="43" t="s">
        <v>83</v>
      </c>
      <c r="I34" s="43" t="s">
        <v>84</v>
      </c>
      <c r="J34" s="43" t="s">
        <v>85</v>
      </c>
      <c r="K34" s="43" t="s">
        <v>86</v>
      </c>
      <c r="L34" s="43" t="s">
        <v>87</v>
      </c>
      <c r="M34" s="43" t="s">
        <v>88</v>
      </c>
    </row>
    <row r="35" spans="3:19" ht="16.2" customHeight="1" x14ac:dyDescent="0.3">
      <c r="C35" s="44">
        <f>EOMONTH(D17,-1)+1</f>
        <v>45992</v>
      </c>
      <c r="D35" s="45">
        <f>IF(C35&lt;$D$17,"0.00",INDEX($K$35:$K$65,MATCH(C35,$C$35:$C$65,0)))*$D$18</f>
        <v>0</v>
      </c>
      <c r="E35" s="45">
        <f>IF(C35&lt;$D$17,"0.00",INDEX($L$35:$L$65,MATCH(C35,$C$35:$C$65,0)))*$D$18</f>
        <v>0</v>
      </c>
      <c r="F35" s="45">
        <f>IF(C35&lt;$D$17,"0.00",INDEX($M$35:$M$65,MATCH(C35,$C$35:$C$65,0)))*$D$18</f>
        <v>0</v>
      </c>
      <c r="G35" s="45">
        <f t="shared" ref="G35:I65" si="0">D35/$D$23</f>
        <v>0</v>
      </c>
      <c r="H35" s="45">
        <f t="shared" si="0"/>
        <v>0</v>
      </c>
      <c r="I35" s="45">
        <f t="shared" si="0"/>
        <v>0</v>
      </c>
      <c r="J35" s="45"/>
      <c r="K35" s="46">
        <v>869</v>
      </c>
      <c r="L35" s="46">
        <v>316</v>
      </c>
      <c r="M35" s="46">
        <v>395</v>
      </c>
      <c r="O35" s="47"/>
      <c r="S35" s="48"/>
    </row>
    <row r="36" spans="3:19" ht="16.2" customHeight="1" x14ac:dyDescent="0.3">
      <c r="C36" s="44">
        <f>C35+1</f>
        <v>45993</v>
      </c>
      <c r="D36" s="45">
        <f t="shared" ref="D36:D65" si="1">IF(C36&lt;$D$17,"0.00",INDEX($K$35:$K$65,MATCH(C36,$C$35:$C$65,0)))*$D$18</f>
        <v>0</v>
      </c>
      <c r="E36" s="45">
        <f t="shared" ref="E36:E65" si="2">IF(C36&lt;$D$17,"0.00",INDEX($L$35:$L$65,MATCH(C36,$C$35:$C$65,0)))*$D$18</f>
        <v>0</v>
      </c>
      <c r="F36" s="45">
        <f t="shared" ref="F36:F65" si="3">IF(C36&lt;$D$17,"0.00",INDEX($M$35:$M$65,MATCH(C36,$C$35:$C$65,0)))*$D$18</f>
        <v>0</v>
      </c>
      <c r="G36" s="45">
        <f t="shared" si="0"/>
        <v>0</v>
      </c>
      <c r="H36" s="45">
        <f t="shared" si="0"/>
        <v>0</v>
      </c>
      <c r="I36" s="45">
        <f t="shared" si="0"/>
        <v>0</v>
      </c>
      <c r="J36" s="45"/>
      <c r="K36" s="46">
        <v>880</v>
      </c>
      <c r="L36" s="46">
        <v>320</v>
      </c>
      <c r="M36" s="46">
        <v>400</v>
      </c>
      <c r="O36" s="47"/>
      <c r="S36" s="48"/>
    </row>
    <row r="37" spans="3:19" ht="16.2" customHeight="1" x14ac:dyDescent="0.3">
      <c r="C37" s="44">
        <f t="shared" ref="C37:C65" si="4">C36+1</f>
        <v>45994</v>
      </c>
      <c r="D37" s="45">
        <f t="shared" si="1"/>
        <v>0</v>
      </c>
      <c r="E37" s="45">
        <f t="shared" si="2"/>
        <v>0</v>
      </c>
      <c r="F37" s="45">
        <f t="shared" si="3"/>
        <v>0</v>
      </c>
      <c r="G37" s="45">
        <f t="shared" si="0"/>
        <v>0</v>
      </c>
      <c r="H37" s="45">
        <f t="shared" si="0"/>
        <v>0</v>
      </c>
      <c r="I37" s="45">
        <f t="shared" si="0"/>
        <v>0</v>
      </c>
      <c r="J37" s="45"/>
      <c r="K37" s="46">
        <v>891</v>
      </c>
      <c r="L37" s="46">
        <v>324</v>
      </c>
      <c r="M37" s="46">
        <v>405</v>
      </c>
      <c r="O37" s="47"/>
      <c r="S37" s="48"/>
    </row>
    <row r="38" spans="3:19" ht="16.2" customHeight="1" x14ac:dyDescent="0.3">
      <c r="C38" s="44">
        <f t="shared" si="4"/>
        <v>45995</v>
      </c>
      <c r="D38" s="45">
        <f t="shared" si="1"/>
        <v>0</v>
      </c>
      <c r="E38" s="45">
        <f t="shared" si="2"/>
        <v>0</v>
      </c>
      <c r="F38" s="45">
        <f t="shared" si="3"/>
        <v>0</v>
      </c>
      <c r="G38" s="45">
        <f t="shared" si="0"/>
        <v>0</v>
      </c>
      <c r="H38" s="45">
        <f t="shared" si="0"/>
        <v>0</v>
      </c>
      <c r="I38" s="45">
        <f t="shared" si="0"/>
        <v>0</v>
      </c>
      <c r="J38" s="45"/>
      <c r="K38" s="46">
        <v>869</v>
      </c>
      <c r="L38" s="46">
        <v>316</v>
      </c>
      <c r="M38" s="46">
        <v>395</v>
      </c>
      <c r="O38" s="47"/>
      <c r="S38" s="48"/>
    </row>
    <row r="39" spans="3:19" ht="16.2" customHeight="1" x14ac:dyDescent="0.3">
      <c r="C39" s="44">
        <f t="shared" si="4"/>
        <v>45996</v>
      </c>
      <c r="D39" s="45">
        <f t="shared" si="1"/>
        <v>0</v>
      </c>
      <c r="E39" s="45">
        <f t="shared" si="2"/>
        <v>0</v>
      </c>
      <c r="F39" s="45">
        <f t="shared" si="3"/>
        <v>0</v>
      </c>
      <c r="G39" s="45">
        <f t="shared" si="0"/>
        <v>0</v>
      </c>
      <c r="H39" s="45">
        <f t="shared" si="0"/>
        <v>0</v>
      </c>
      <c r="I39" s="45">
        <f t="shared" si="0"/>
        <v>0</v>
      </c>
      <c r="J39" s="45"/>
      <c r="K39" s="46">
        <v>908</v>
      </c>
      <c r="L39" s="46">
        <v>330</v>
      </c>
      <c r="M39" s="46">
        <v>412</v>
      </c>
      <c r="O39" s="47"/>
      <c r="S39" s="48"/>
    </row>
    <row r="40" spans="3:19" ht="16.2" customHeight="1" x14ac:dyDescent="0.3">
      <c r="C40" s="44">
        <f t="shared" si="4"/>
        <v>45997</v>
      </c>
      <c r="D40" s="45">
        <f t="shared" si="1"/>
        <v>0</v>
      </c>
      <c r="E40" s="45">
        <f t="shared" si="2"/>
        <v>0</v>
      </c>
      <c r="F40" s="45">
        <f t="shared" si="3"/>
        <v>0</v>
      </c>
      <c r="G40" s="45">
        <f t="shared" si="0"/>
        <v>0</v>
      </c>
      <c r="H40" s="45">
        <f t="shared" si="0"/>
        <v>0</v>
      </c>
      <c r="I40" s="45">
        <f t="shared" si="0"/>
        <v>0</v>
      </c>
      <c r="J40" s="45"/>
      <c r="K40" s="46">
        <v>924</v>
      </c>
      <c r="L40" s="46">
        <v>336</v>
      </c>
      <c r="M40" s="46">
        <v>420</v>
      </c>
      <c r="O40" s="47"/>
      <c r="S40" s="48"/>
    </row>
    <row r="41" spans="3:19" ht="16.2" customHeight="1" x14ac:dyDescent="0.3">
      <c r="C41" s="44">
        <f t="shared" si="4"/>
        <v>45998</v>
      </c>
      <c r="D41" s="45">
        <f t="shared" si="1"/>
        <v>0</v>
      </c>
      <c r="E41" s="45">
        <f t="shared" si="2"/>
        <v>0</v>
      </c>
      <c r="F41" s="45">
        <f t="shared" si="3"/>
        <v>0</v>
      </c>
      <c r="G41" s="45">
        <f t="shared" si="0"/>
        <v>0</v>
      </c>
      <c r="H41" s="45">
        <f t="shared" si="0"/>
        <v>0</v>
      </c>
      <c r="I41" s="45">
        <f t="shared" si="0"/>
        <v>0</v>
      </c>
      <c r="J41" s="45"/>
      <c r="K41" s="46">
        <v>891</v>
      </c>
      <c r="L41" s="46">
        <v>324</v>
      </c>
      <c r="M41" s="46">
        <v>405</v>
      </c>
      <c r="O41" s="47"/>
      <c r="S41" s="48"/>
    </row>
    <row r="42" spans="3:19" ht="16.2" customHeight="1" x14ac:dyDescent="0.3">
      <c r="C42" s="44">
        <f t="shared" si="4"/>
        <v>45999</v>
      </c>
      <c r="D42" s="45">
        <f t="shared" si="1"/>
        <v>0</v>
      </c>
      <c r="E42" s="45">
        <f t="shared" si="2"/>
        <v>0</v>
      </c>
      <c r="F42" s="45">
        <f t="shared" si="3"/>
        <v>0</v>
      </c>
      <c r="G42" s="45">
        <f t="shared" si="0"/>
        <v>0</v>
      </c>
      <c r="H42" s="45">
        <f t="shared" si="0"/>
        <v>0</v>
      </c>
      <c r="I42" s="45">
        <f t="shared" si="0"/>
        <v>0</v>
      </c>
      <c r="J42" s="45"/>
      <c r="K42" s="46">
        <v>869</v>
      </c>
      <c r="L42" s="46">
        <v>316</v>
      </c>
      <c r="M42" s="46">
        <v>395</v>
      </c>
      <c r="O42" s="47"/>
      <c r="S42" s="48"/>
    </row>
    <row r="43" spans="3:19" ht="16.2" customHeight="1" x14ac:dyDescent="0.3">
      <c r="C43" s="44">
        <f t="shared" si="4"/>
        <v>46000</v>
      </c>
      <c r="D43" s="45">
        <f t="shared" si="1"/>
        <v>0</v>
      </c>
      <c r="E43" s="45">
        <f t="shared" si="2"/>
        <v>0</v>
      </c>
      <c r="F43" s="45">
        <f t="shared" si="3"/>
        <v>0</v>
      </c>
      <c r="G43" s="45">
        <f t="shared" si="0"/>
        <v>0</v>
      </c>
      <c r="H43" s="45">
        <f t="shared" si="0"/>
        <v>0</v>
      </c>
      <c r="I43" s="45">
        <f t="shared" si="0"/>
        <v>0</v>
      </c>
      <c r="J43" s="45"/>
      <c r="K43" s="46">
        <v>880</v>
      </c>
      <c r="L43" s="46">
        <v>320</v>
      </c>
      <c r="M43" s="46">
        <v>400</v>
      </c>
      <c r="O43" s="47"/>
      <c r="S43" s="48"/>
    </row>
    <row r="44" spans="3:19" ht="16.2" customHeight="1" x14ac:dyDescent="0.3">
      <c r="C44" s="44">
        <f t="shared" si="4"/>
        <v>46001</v>
      </c>
      <c r="D44" s="45">
        <f t="shared" si="1"/>
        <v>0</v>
      </c>
      <c r="E44" s="45">
        <f t="shared" si="2"/>
        <v>0</v>
      </c>
      <c r="F44" s="45">
        <f t="shared" si="3"/>
        <v>0</v>
      </c>
      <c r="G44" s="45">
        <f t="shared" si="0"/>
        <v>0</v>
      </c>
      <c r="H44" s="45">
        <f t="shared" si="0"/>
        <v>0</v>
      </c>
      <c r="I44" s="45">
        <f t="shared" si="0"/>
        <v>0</v>
      </c>
      <c r="J44" s="45"/>
      <c r="K44" s="46">
        <v>869</v>
      </c>
      <c r="L44" s="46">
        <v>316</v>
      </c>
      <c r="M44" s="46">
        <v>395</v>
      </c>
      <c r="O44" s="47"/>
      <c r="S44" s="48"/>
    </row>
    <row r="45" spans="3:19" ht="16.2" customHeight="1" x14ac:dyDescent="0.3">
      <c r="C45" s="44">
        <f t="shared" si="4"/>
        <v>46002</v>
      </c>
      <c r="D45" s="45">
        <f t="shared" si="1"/>
        <v>0</v>
      </c>
      <c r="E45" s="45">
        <f t="shared" si="2"/>
        <v>0</v>
      </c>
      <c r="F45" s="45">
        <f t="shared" si="3"/>
        <v>0</v>
      </c>
      <c r="G45" s="45">
        <f t="shared" si="0"/>
        <v>0</v>
      </c>
      <c r="H45" s="45">
        <f t="shared" si="0"/>
        <v>0</v>
      </c>
      <c r="I45" s="45">
        <f t="shared" si="0"/>
        <v>0</v>
      </c>
      <c r="J45" s="45"/>
      <c r="K45" s="46">
        <v>924</v>
      </c>
      <c r="L45" s="46">
        <v>336</v>
      </c>
      <c r="M45" s="46">
        <v>420</v>
      </c>
      <c r="O45" s="47"/>
      <c r="S45" s="48"/>
    </row>
    <row r="46" spans="3:19" ht="16.2" customHeight="1" x14ac:dyDescent="0.3">
      <c r="C46" s="44">
        <f t="shared" si="4"/>
        <v>46003</v>
      </c>
      <c r="D46" s="45">
        <f t="shared" si="1"/>
        <v>0</v>
      </c>
      <c r="E46" s="45">
        <f t="shared" si="2"/>
        <v>0</v>
      </c>
      <c r="F46" s="45">
        <f t="shared" si="3"/>
        <v>0</v>
      </c>
      <c r="G46" s="45">
        <f t="shared" si="0"/>
        <v>0</v>
      </c>
      <c r="H46" s="45">
        <f t="shared" si="0"/>
        <v>0</v>
      </c>
      <c r="I46" s="45">
        <f t="shared" si="0"/>
        <v>0</v>
      </c>
      <c r="J46" s="45"/>
      <c r="K46" s="46">
        <v>869</v>
      </c>
      <c r="L46" s="46">
        <v>316</v>
      </c>
      <c r="M46" s="46">
        <v>395</v>
      </c>
      <c r="O46" s="47"/>
      <c r="S46" s="48"/>
    </row>
    <row r="47" spans="3:19" ht="16.2" customHeight="1" x14ac:dyDescent="0.3">
      <c r="C47" s="44">
        <f t="shared" si="4"/>
        <v>46004</v>
      </c>
      <c r="D47" s="45">
        <f t="shared" si="1"/>
        <v>0</v>
      </c>
      <c r="E47" s="45">
        <f t="shared" si="2"/>
        <v>0</v>
      </c>
      <c r="F47" s="45">
        <f t="shared" si="3"/>
        <v>0</v>
      </c>
      <c r="G47" s="45">
        <f t="shared" si="0"/>
        <v>0</v>
      </c>
      <c r="H47" s="45">
        <f t="shared" si="0"/>
        <v>0</v>
      </c>
      <c r="I47" s="45">
        <f t="shared" si="0"/>
        <v>0</v>
      </c>
      <c r="J47" s="45"/>
      <c r="K47" s="46">
        <v>880</v>
      </c>
      <c r="L47" s="46">
        <v>320</v>
      </c>
      <c r="M47" s="46">
        <v>400</v>
      </c>
      <c r="O47" s="47"/>
      <c r="S47" s="48"/>
    </row>
    <row r="48" spans="3:19" ht="16.2" customHeight="1" x14ac:dyDescent="0.3">
      <c r="C48" s="44">
        <f t="shared" si="4"/>
        <v>46005</v>
      </c>
      <c r="D48" s="45">
        <f t="shared" si="1"/>
        <v>891</v>
      </c>
      <c r="E48" s="45">
        <f t="shared" si="2"/>
        <v>324</v>
      </c>
      <c r="F48" s="45">
        <f t="shared" si="3"/>
        <v>405</v>
      </c>
      <c r="G48" s="45">
        <f t="shared" si="0"/>
        <v>900</v>
      </c>
      <c r="H48" s="45">
        <f t="shared" si="0"/>
        <v>327.27272727272725</v>
      </c>
      <c r="I48" s="45">
        <f t="shared" si="0"/>
        <v>409.09090909090912</v>
      </c>
      <c r="J48" s="45"/>
      <c r="K48" s="46">
        <v>891</v>
      </c>
      <c r="L48" s="46">
        <v>324</v>
      </c>
      <c r="M48" s="46">
        <v>405</v>
      </c>
      <c r="O48" s="47"/>
      <c r="S48" s="48"/>
    </row>
    <row r="49" spans="3:19" ht="16.2" customHeight="1" x14ac:dyDescent="0.3">
      <c r="C49" s="44">
        <f t="shared" si="4"/>
        <v>46006</v>
      </c>
      <c r="D49" s="45">
        <f t="shared" si="1"/>
        <v>869</v>
      </c>
      <c r="E49" s="45">
        <f t="shared" si="2"/>
        <v>316</v>
      </c>
      <c r="F49" s="45">
        <f t="shared" si="3"/>
        <v>395</v>
      </c>
      <c r="G49" s="45">
        <f t="shared" si="0"/>
        <v>877.77777777777783</v>
      </c>
      <c r="H49" s="45">
        <f t="shared" si="0"/>
        <v>319.19191919191917</v>
      </c>
      <c r="I49" s="45">
        <f t="shared" si="0"/>
        <v>398.98989898989902</v>
      </c>
      <c r="J49" s="45"/>
      <c r="K49" s="46">
        <v>869</v>
      </c>
      <c r="L49" s="46">
        <v>316</v>
      </c>
      <c r="M49" s="46">
        <v>395</v>
      </c>
      <c r="O49" s="47"/>
      <c r="S49" s="48"/>
    </row>
    <row r="50" spans="3:19" ht="16.2" customHeight="1" x14ac:dyDescent="0.3">
      <c r="C50" s="44">
        <f t="shared" si="4"/>
        <v>46007</v>
      </c>
      <c r="D50" s="45">
        <f t="shared" si="1"/>
        <v>935</v>
      </c>
      <c r="E50" s="45">
        <f t="shared" si="2"/>
        <v>340</v>
      </c>
      <c r="F50" s="45">
        <f t="shared" si="3"/>
        <v>425</v>
      </c>
      <c r="G50" s="45">
        <f t="shared" si="0"/>
        <v>944.44444444444446</v>
      </c>
      <c r="H50" s="45">
        <f t="shared" si="0"/>
        <v>343.43434343434342</v>
      </c>
      <c r="I50" s="45">
        <f t="shared" si="0"/>
        <v>429.29292929292927</v>
      </c>
      <c r="J50" s="45"/>
      <c r="K50" s="46">
        <v>935</v>
      </c>
      <c r="L50" s="46">
        <v>340</v>
      </c>
      <c r="M50" s="46">
        <v>425</v>
      </c>
      <c r="O50" s="47"/>
      <c r="S50" s="48"/>
    </row>
    <row r="51" spans="3:19" ht="16.2" customHeight="1" x14ac:dyDescent="0.3">
      <c r="C51" s="44">
        <f t="shared" si="4"/>
        <v>46008</v>
      </c>
      <c r="D51" s="45">
        <f t="shared" si="1"/>
        <v>869</v>
      </c>
      <c r="E51" s="45">
        <f t="shared" si="2"/>
        <v>316</v>
      </c>
      <c r="F51" s="45">
        <f t="shared" si="3"/>
        <v>395</v>
      </c>
      <c r="G51" s="45">
        <f t="shared" si="0"/>
        <v>877.77777777777783</v>
      </c>
      <c r="H51" s="45">
        <f t="shared" si="0"/>
        <v>319.19191919191917</v>
      </c>
      <c r="I51" s="45">
        <f t="shared" si="0"/>
        <v>398.98989898989902</v>
      </c>
      <c r="J51" s="45"/>
      <c r="K51" s="46">
        <v>869</v>
      </c>
      <c r="L51" s="46">
        <v>316</v>
      </c>
      <c r="M51" s="46">
        <v>395</v>
      </c>
      <c r="O51" s="47"/>
      <c r="S51" s="48"/>
    </row>
    <row r="52" spans="3:19" ht="16.2" customHeight="1" x14ac:dyDescent="0.3">
      <c r="C52" s="44">
        <f t="shared" si="4"/>
        <v>46009</v>
      </c>
      <c r="D52" s="45">
        <f t="shared" si="1"/>
        <v>880</v>
      </c>
      <c r="E52" s="45">
        <f t="shared" si="2"/>
        <v>320</v>
      </c>
      <c r="F52" s="45">
        <f t="shared" si="3"/>
        <v>400</v>
      </c>
      <c r="G52" s="45">
        <f t="shared" si="0"/>
        <v>888.88888888888891</v>
      </c>
      <c r="H52" s="45">
        <f t="shared" si="0"/>
        <v>323.23232323232321</v>
      </c>
      <c r="I52" s="45">
        <f t="shared" si="0"/>
        <v>404.04040404040404</v>
      </c>
      <c r="J52" s="49">
        <v>120</v>
      </c>
      <c r="K52" s="46">
        <v>880</v>
      </c>
      <c r="L52" s="46">
        <v>320</v>
      </c>
      <c r="M52" s="46">
        <v>400</v>
      </c>
      <c r="O52" s="47"/>
      <c r="S52" s="48"/>
    </row>
    <row r="53" spans="3:19" ht="16.2" customHeight="1" x14ac:dyDescent="0.3">
      <c r="C53" s="44">
        <f t="shared" si="4"/>
        <v>46010</v>
      </c>
      <c r="D53" s="45">
        <f t="shared" si="1"/>
        <v>869</v>
      </c>
      <c r="E53" s="45">
        <f t="shared" si="2"/>
        <v>316</v>
      </c>
      <c r="F53" s="45">
        <f t="shared" si="3"/>
        <v>395</v>
      </c>
      <c r="G53" s="45">
        <f t="shared" si="0"/>
        <v>877.77777777777783</v>
      </c>
      <c r="H53" s="45">
        <f t="shared" si="0"/>
        <v>319.19191919191917</v>
      </c>
      <c r="I53" s="45">
        <f t="shared" si="0"/>
        <v>398.98989898989902</v>
      </c>
      <c r="J53" s="45"/>
      <c r="K53" s="46">
        <v>869</v>
      </c>
      <c r="L53" s="46">
        <v>316</v>
      </c>
      <c r="M53" s="46">
        <v>395</v>
      </c>
      <c r="O53" s="47"/>
      <c r="S53" s="48"/>
    </row>
    <row r="54" spans="3:19" ht="16.2" customHeight="1" x14ac:dyDescent="0.3">
      <c r="C54" s="44">
        <f t="shared" si="4"/>
        <v>46011</v>
      </c>
      <c r="D54" s="45">
        <f t="shared" si="1"/>
        <v>908</v>
      </c>
      <c r="E54" s="45">
        <f t="shared" si="2"/>
        <v>330</v>
      </c>
      <c r="F54" s="45">
        <f t="shared" si="3"/>
        <v>412</v>
      </c>
      <c r="G54" s="45">
        <f t="shared" si="0"/>
        <v>917.17171717171721</v>
      </c>
      <c r="H54" s="45">
        <f t="shared" si="0"/>
        <v>333.33333333333331</v>
      </c>
      <c r="I54" s="45">
        <f t="shared" si="0"/>
        <v>416.16161616161617</v>
      </c>
      <c r="J54" s="45"/>
      <c r="K54" s="46">
        <v>908</v>
      </c>
      <c r="L54" s="46">
        <v>330</v>
      </c>
      <c r="M54" s="46">
        <v>412</v>
      </c>
      <c r="O54" s="47"/>
      <c r="S54" s="48"/>
    </row>
    <row r="55" spans="3:19" ht="16.2" customHeight="1" x14ac:dyDescent="0.3">
      <c r="C55" s="44">
        <f t="shared" si="4"/>
        <v>46012</v>
      </c>
      <c r="D55" s="45">
        <f t="shared" si="1"/>
        <v>924</v>
      </c>
      <c r="E55" s="45">
        <f t="shared" si="2"/>
        <v>336</v>
      </c>
      <c r="F55" s="45">
        <f t="shared" si="3"/>
        <v>420</v>
      </c>
      <c r="G55" s="45">
        <f t="shared" si="0"/>
        <v>933.33333333333337</v>
      </c>
      <c r="H55" s="45">
        <f t="shared" si="0"/>
        <v>339.39393939393938</v>
      </c>
      <c r="I55" s="45">
        <f t="shared" si="0"/>
        <v>424.24242424242425</v>
      </c>
      <c r="J55" s="45"/>
      <c r="K55" s="46">
        <v>924</v>
      </c>
      <c r="L55" s="46">
        <v>336</v>
      </c>
      <c r="M55" s="46">
        <v>420</v>
      </c>
      <c r="O55" s="47"/>
      <c r="S55" s="48"/>
    </row>
    <row r="56" spans="3:19" ht="16.2" customHeight="1" x14ac:dyDescent="0.3">
      <c r="C56" s="44">
        <f t="shared" si="4"/>
        <v>46013</v>
      </c>
      <c r="D56" s="45">
        <f t="shared" si="1"/>
        <v>869</v>
      </c>
      <c r="E56" s="45">
        <f t="shared" si="2"/>
        <v>316</v>
      </c>
      <c r="F56" s="45">
        <f t="shared" si="3"/>
        <v>395</v>
      </c>
      <c r="G56" s="45">
        <f t="shared" si="0"/>
        <v>877.77777777777783</v>
      </c>
      <c r="H56" s="45">
        <f t="shared" si="0"/>
        <v>319.19191919191917</v>
      </c>
      <c r="I56" s="45">
        <f t="shared" si="0"/>
        <v>398.98989898989902</v>
      </c>
      <c r="J56" s="45"/>
      <c r="K56" s="46">
        <v>869</v>
      </c>
      <c r="L56" s="46">
        <v>316</v>
      </c>
      <c r="M56" s="46">
        <v>395</v>
      </c>
      <c r="O56" s="47"/>
      <c r="S56" s="48"/>
    </row>
    <row r="57" spans="3:19" ht="16.2" customHeight="1" x14ac:dyDescent="0.3">
      <c r="C57" s="44">
        <f t="shared" si="4"/>
        <v>46014</v>
      </c>
      <c r="D57" s="45">
        <f t="shared" si="1"/>
        <v>880</v>
      </c>
      <c r="E57" s="45">
        <f t="shared" si="2"/>
        <v>320</v>
      </c>
      <c r="F57" s="45">
        <f t="shared" si="3"/>
        <v>400</v>
      </c>
      <c r="G57" s="45">
        <f t="shared" si="0"/>
        <v>888.88888888888891</v>
      </c>
      <c r="H57" s="45">
        <f t="shared" si="0"/>
        <v>323.23232323232321</v>
      </c>
      <c r="I57" s="45">
        <f t="shared" si="0"/>
        <v>404.04040404040404</v>
      </c>
      <c r="J57" s="45"/>
      <c r="K57" s="46">
        <v>880</v>
      </c>
      <c r="L57" s="46">
        <v>320</v>
      </c>
      <c r="M57" s="46">
        <v>400</v>
      </c>
      <c r="O57" s="47"/>
      <c r="S57" s="48"/>
    </row>
    <row r="58" spans="3:19" ht="16.2" customHeight="1" x14ac:dyDescent="0.3">
      <c r="C58" s="44">
        <f t="shared" si="4"/>
        <v>46015</v>
      </c>
      <c r="D58" s="45">
        <f t="shared" si="1"/>
        <v>963</v>
      </c>
      <c r="E58" s="45">
        <f t="shared" si="2"/>
        <v>350</v>
      </c>
      <c r="F58" s="45">
        <f t="shared" si="3"/>
        <v>437</v>
      </c>
      <c r="G58" s="45">
        <f t="shared" si="0"/>
        <v>972.72727272727275</v>
      </c>
      <c r="H58" s="45">
        <f t="shared" si="0"/>
        <v>353.53535353535352</v>
      </c>
      <c r="I58" s="45">
        <f t="shared" si="0"/>
        <v>441.4141414141414</v>
      </c>
      <c r="J58" s="45"/>
      <c r="K58" s="46">
        <v>963</v>
      </c>
      <c r="L58" s="46">
        <v>350</v>
      </c>
      <c r="M58" s="46">
        <v>437</v>
      </c>
      <c r="O58" s="47"/>
      <c r="S58" s="48"/>
    </row>
    <row r="59" spans="3:19" ht="16.2" customHeight="1" x14ac:dyDescent="0.3">
      <c r="C59" s="44">
        <f t="shared" si="4"/>
        <v>46016</v>
      </c>
      <c r="D59" s="45">
        <f t="shared" si="1"/>
        <v>979</v>
      </c>
      <c r="E59" s="45">
        <f t="shared" si="2"/>
        <v>356</v>
      </c>
      <c r="F59" s="45">
        <f t="shared" si="3"/>
        <v>445</v>
      </c>
      <c r="G59" s="45">
        <f t="shared" si="0"/>
        <v>988.88888888888891</v>
      </c>
      <c r="H59" s="45">
        <f t="shared" si="0"/>
        <v>359.59595959595958</v>
      </c>
      <c r="I59" s="45">
        <f t="shared" si="0"/>
        <v>449.49494949494948</v>
      </c>
      <c r="J59" s="45"/>
      <c r="K59" s="46">
        <v>979</v>
      </c>
      <c r="L59" s="46">
        <v>356</v>
      </c>
      <c r="M59" s="46">
        <v>445</v>
      </c>
      <c r="O59" s="47"/>
      <c r="S59" s="48"/>
    </row>
    <row r="60" spans="3:19" ht="16.2" customHeight="1" x14ac:dyDescent="0.3">
      <c r="C60" s="44">
        <f t="shared" si="4"/>
        <v>46017</v>
      </c>
      <c r="D60" s="45">
        <f t="shared" si="1"/>
        <v>869</v>
      </c>
      <c r="E60" s="45">
        <f t="shared" si="2"/>
        <v>316</v>
      </c>
      <c r="F60" s="45">
        <f t="shared" si="3"/>
        <v>395</v>
      </c>
      <c r="G60" s="45">
        <f t="shared" si="0"/>
        <v>877.77777777777783</v>
      </c>
      <c r="H60" s="45">
        <f t="shared" si="0"/>
        <v>319.19191919191917</v>
      </c>
      <c r="I60" s="45">
        <f t="shared" si="0"/>
        <v>398.98989898989902</v>
      </c>
      <c r="J60" s="45"/>
      <c r="K60" s="46">
        <v>869</v>
      </c>
      <c r="L60" s="46">
        <v>316</v>
      </c>
      <c r="M60" s="46">
        <v>395</v>
      </c>
      <c r="O60" s="47"/>
      <c r="S60" s="48"/>
    </row>
    <row r="61" spans="3:19" ht="16.2" customHeight="1" x14ac:dyDescent="0.3">
      <c r="C61" s="44">
        <f t="shared" si="4"/>
        <v>46018</v>
      </c>
      <c r="D61" s="45">
        <f t="shared" si="1"/>
        <v>853</v>
      </c>
      <c r="E61" s="45">
        <f t="shared" si="2"/>
        <v>310</v>
      </c>
      <c r="F61" s="45">
        <f t="shared" si="3"/>
        <v>387</v>
      </c>
      <c r="G61" s="45">
        <f t="shared" si="0"/>
        <v>861.61616161616166</v>
      </c>
      <c r="H61" s="45">
        <f t="shared" si="0"/>
        <v>313.13131313131311</v>
      </c>
      <c r="I61" s="45">
        <f t="shared" si="0"/>
        <v>390.90909090909093</v>
      </c>
      <c r="J61" s="45"/>
      <c r="K61" s="46">
        <v>853</v>
      </c>
      <c r="L61" s="46">
        <v>310</v>
      </c>
      <c r="M61" s="46">
        <v>387</v>
      </c>
      <c r="O61" s="47"/>
      <c r="S61" s="48"/>
    </row>
    <row r="62" spans="3:19" ht="16.2" customHeight="1" x14ac:dyDescent="0.3">
      <c r="C62" s="44">
        <f t="shared" si="4"/>
        <v>46019</v>
      </c>
      <c r="D62" s="45">
        <f t="shared" si="1"/>
        <v>880</v>
      </c>
      <c r="E62" s="45">
        <f t="shared" si="2"/>
        <v>320</v>
      </c>
      <c r="F62" s="45">
        <f t="shared" si="3"/>
        <v>400</v>
      </c>
      <c r="G62" s="45">
        <f t="shared" si="0"/>
        <v>888.88888888888891</v>
      </c>
      <c r="H62" s="45">
        <f t="shared" si="0"/>
        <v>323.23232323232321</v>
      </c>
      <c r="I62" s="45">
        <f t="shared" si="0"/>
        <v>404.04040404040404</v>
      </c>
      <c r="J62" s="45"/>
      <c r="K62" s="46">
        <v>880</v>
      </c>
      <c r="L62" s="46">
        <v>320</v>
      </c>
      <c r="M62" s="46">
        <v>400</v>
      </c>
      <c r="O62" s="47"/>
      <c r="S62" s="48"/>
    </row>
    <row r="63" spans="3:19" ht="16.2" customHeight="1" x14ac:dyDescent="0.3">
      <c r="C63" s="44">
        <f t="shared" si="4"/>
        <v>46020</v>
      </c>
      <c r="D63" s="45">
        <f t="shared" si="1"/>
        <v>869</v>
      </c>
      <c r="E63" s="45">
        <f t="shared" si="2"/>
        <v>316</v>
      </c>
      <c r="F63" s="45">
        <f t="shared" si="3"/>
        <v>395</v>
      </c>
      <c r="G63" s="45">
        <f t="shared" si="0"/>
        <v>877.77777777777783</v>
      </c>
      <c r="H63" s="45">
        <f t="shared" si="0"/>
        <v>319.19191919191917</v>
      </c>
      <c r="I63" s="45">
        <f t="shared" si="0"/>
        <v>398.98989898989902</v>
      </c>
      <c r="J63" s="45"/>
      <c r="K63" s="46">
        <v>869</v>
      </c>
      <c r="L63" s="46">
        <v>316</v>
      </c>
      <c r="M63" s="46">
        <v>395</v>
      </c>
      <c r="O63" s="47"/>
      <c r="S63" s="48"/>
    </row>
    <row r="64" spans="3:19" ht="16.2" customHeight="1" x14ac:dyDescent="0.3">
      <c r="C64" s="44">
        <f t="shared" si="4"/>
        <v>46021</v>
      </c>
      <c r="D64" s="45">
        <f t="shared" si="1"/>
        <v>880</v>
      </c>
      <c r="E64" s="45">
        <f t="shared" si="2"/>
        <v>320</v>
      </c>
      <c r="F64" s="45">
        <f t="shared" si="3"/>
        <v>400</v>
      </c>
      <c r="G64" s="45">
        <f t="shared" si="0"/>
        <v>888.88888888888891</v>
      </c>
      <c r="H64" s="45">
        <f t="shared" si="0"/>
        <v>323.23232323232321</v>
      </c>
      <c r="I64" s="45">
        <f t="shared" si="0"/>
        <v>404.04040404040404</v>
      </c>
      <c r="J64" s="45"/>
      <c r="K64" s="46">
        <v>880</v>
      </c>
      <c r="L64" s="46">
        <v>320</v>
      </c>
      <c r="M64" s="46">
        <v>400</v>
      </c>
      <c r="O64" s="47"/>
      <c r="S64" s="48"/>
    </row>
    <row r="65" spans="2:19" ht="16.2" customHeight="1" x14ac:dyDescent="0.3">
      <c r="C65" s="44">
        <f t="shared" si="4"/>
        <v>46022</v>
      </c>
      <c r="D65" s="45">
        <f t="shared" si="1"/>
        <v>924</v>
      </c>
      <c r="E65" s="45">
        <f t="shared" si="2"/>
        <v>336</v>
      </c>
      <c r="F65" s="45">
        <f t="shared" si="3"/>
        <v>420</v>
      </c>
      <c r="G65" s="45">
        <f t="shared" si="0"/>
        <v>933.33333333333337</v>
      </c>
      <c r="H65" s="45">
        <f t="shared" si="0"/>
        <v>339.39393939393938</v>
      </c>
      <c r="I65" s="45">
        <f t="shared" si="0"/>
        <v>424.24242424242425</v>
      </c>
      <c r="J65" s="45"/>
      <c r="K65" s="46">
        <v>924</v>
      </c>
      <c r="L65" s="46">
        <v>336</v>
      </c>
      <c r="M65" s="46">
        <v>420</v>
      </c>
      <c r="O65" s="47"/>
      <c r="S65" s="48"/>
    </row>
    <row r="66" spans="2:19" ht="16.2" customHeight="1" x14ac:dyDescent="0.3">
      <c r="C66" s="50"/>
      <c r="D66" s="51">
        <f t="shared" ref="D66:I66" si="5">SUM(D35:D65)</f>
        <v>16111</v>
      </c>
      <c r="E66" s="51">
        <f t="shared" si="5"/>
        <v>5858</v>
      </c>
      <c r="F66" s="51">
        <f t="shared" si="5"/>
        <v>7321</v>
      </c>
      <c r="G66" s="51">
        <f t="shared" si="5"/>
        <v>16273.737373737373</v>
      </c>
      <c r="H66" s="51">
        <f t="shared" si="5"/>
        <v>5917.1717171717164</v>
      </c>
      <c r="I66" s="51">
        <f t="shared" si="5"/>
        <v>7394.9494949494947</v>
      </c>
      <c r="J66" s="51">
        <f>MAX(J35:J65)</f>
        <v>120</v>
      </c>
      <c r="K66" s="51">
        <f>SUM(K35:K65)</f>
        <v>27634</v>
      </c>
      <c r="L66" s="51">
        <f>SUM(L35:L65)</f>
        <v>10048</v>
      </c>
      <c r="M66" s="51">
        <f>SUM(M35:M65)</f>
        <v>12558</v>
      </c>
      <c r="P66" s="48"/>
      <c r="Q66" s="48"/>
      <c r="R66" s="48"/>
      <c r="S66" s="48"/>
    </row>
    <row r="67" spans="2:19" ht="16.2" customHeight="1" x14ac:dyDescent="0.3">
      <c r="C67" s="50"/>
    </row>
    <row r="68" spans="2:19" ht="16.2" customHeight="1" x14ac:dyDescent="0.3">
      <c r="C68" s="50"/>
    </row>
    <row r="69" spans="2:19" ht="16.2" customHeight="1" x14ac:dyDescent="0.3">
      <c r="C69" s="50"/>
    </row>
    <row r="70" spans="2:19" ht="16.2" customHeight="1" x14ac:dyDescent="0.3">
      <c r="C70" s="50"/>
    </row>
    <row r="71" spans="2:19" ht="16.2" customHeight="1" x14ac:dyDescent="0.3">
      <c r="B71" s="1" t="s">
        <v>89</v>
      </c>
      <c r="C71" s="50"/>
      <c r="L71" s="52">
        <v>0.02</v>
      </c>
      <c r="P71" s="53"/>
    </row>
    <row r="72" spans="2:19" ht="38.4" customHeight="1" x14ac:dyDescent="0.3">
      <c r="C72" s="54" t="s">
        <v>29</v>
      </c>
      <c r="D72" s="55" t="s">
        <v>90</v>
      </c>
      <c r="E72" s="55" t="s">
        <v>91</v>
      </c>
      <c r="F72" s="55" t="s">
        <v>92</v>
      </c>
      <c r="G72" s="56" t="s">
        <v>93</v>
      </c>
      <c r="H72" s="55"/>
      <c r="I72" s="55"/>
      <c r="J72" s="43" t="s">
        <v>94</v>
      </c>
      <c r="K72" s="55" t="s">
        <v>95</v>
      </c>
      <c r="L72" s="55" t="s">
        <v>96</v>
      </c>
      <c r="M72" s="55" t="s">
        <v>97</v>
      </c>
      <c r="N72" s="55" t="s">
        <v>98</v>
      </c>
      <c r="O72" s="55" t="s">
        <v>99</v>
      </c>
      <c r="P72" s="57"/>
      <c r="Q72" s="55" t="s">
        <v>100</v>
      </c>
      <c r="R72" s="55" t="s">
        <v>101</v>
      </c>
    </row>
    <row r="73" spans="2:19" ht="43.2" x14ac:dyDescent="0.3">
      <c r="C73" s="54"/>
      <c r="D73" s="55"/>
      <c r="E73" s="55"/>
      <c r="F73" s="55"/>
      <c r="G73" s="58" t="s">
        <v>102</v>
      </c>
      <c r="H73" s="59" t="s">
        <v>103</v>
      </c>
      <c r="I73" s="59" t="s">
        <v>104</v>
      </c>
      <c r="J73" s="43"/>
      <c r="K73" s="55"/>
      <c r="L73" s="55"/>
      <c r="M73" s="55"/>
      <c r="N73" s="55"/>
      <c r="O73" s="55"/>
      <c r="P73" s="57"/>
      <c r="Q73" s="55"/>
      <c r="R73" s="55"/>
    </row>
    <row r="74" spans="2:19" ht="66" customHeight="1" x14ac:dyDescent="0.3">
      <c r="C74" s="60"/>
      <c r="D74" s="61"/>
      <c r="E74" s="61"/>
      <c r="F74" s="61"/>
      <c r="G74" s="58" t="s">
        <v>105</v>
      </c>
      <c r="H74" s="59" t="s">
        <v>105</v>
      </c>
      <c r="I74" s="59" t="s">
        <v>105</v>
      </c>
      <c r="J74" s="62" t="s">
        <v>106</v>
      </c>
      <c r="K74" s="59" t="s">
        <v>107</v>
      </c>
      <c r="L74" s="59" t="s">
        <v>108</v>
      </c>
      <c r="M74" s="59" t="s">
        <v>109</v>
      </c>
      <c r="N74" s="63"/>
      <c r="O74" s="64">
        <f>D24</f>
        <v>250000</v>
      </c>
      <c r="P74" s="57"/>
      <c r="Q74" s="59" t="s">
        <v>110</v>
      </c>
      <c r="R74" s="59"/>
    </row>
    <row r="75" spans="2:19" ht="16.2" customHeight="1" x14ac:dyDescent="0.3">
      <c r="C75" s="50">
        <f>C35</f>
        <v>45992</v>
      </c>
      <c r="D75" s="65">
        <v>0</v>
      </c>
      <c r="E75" s="65">
        <f>G35</f>
        <v>0</v>
      </c>
      <c r="F75" s="66">
        <f>E75-D75</f>
        <v>0</v>
      </c>
      <c r="G75" s="67">
        <f t="shared" ref="G75:G105" si="6">IF(C75&lt;$D$17,0,G35*$E$6)</f>
        <v>0</v>
      </c>
      <c r="H75" s="68">
        <f t="shared" ref="H75:H105" si="7">IF(C75&lt;$D$17,0,H35*$E$7)</f>
        <v>0</v>
      </c>
      <c r="I75" s="68">
        <f t="shared" ref="I75:I105" si="8">IF(C75&lt;$D$17,0,I35*$E$8)</f>
        <v>0</v>
      </c>
      <c r="J75" s="69">
        <f t="shared" ref="J75:J105" si="9">IF(C75&lt;$D$17,0,$E$29)</f>
        <v>0</v>
      </c>
      <c r="K75" s="70">
        <f>ROUNDDOWN(G75+J75+H75+I75,4)</f>
        <v>0</v>
      </c>
      <c r="L75" s="70">
        <f t="shared" ref="L75:L105" si="10">ROUNDDOWN($L$71*K75,4)</f>
        <v>0</v>
      </c>
      <c r="M75" s="70">
        <f t="shared" ref="M75:M105" si="11">ROUNDDOWN(K75+L75,4)</f>
        <v>0</v>
      </c>
      <c r="N75" s="71">
        <f t="shared" ref="N75:N105" si="12">IF(C75&lt;$D$17,0,IF(C75=$D$17,$D$24,0))</f>
        <v>0</v>
      </c>
      <c r="O75" s="57">
        <f t="shared" ref="O75:O105" si="13">IF(C75&lt;$D$17,0,IF(C75=$D$17,N75-M75,O74-M75+N75))</f>
        <v>0</v>
      </c>
      <c r="P75" s="57"/>
      <c r="Q75" s="72">
        <f>IF(C75&lt;$D$17,0,$K$29)</f>
        <v>0</v>
      </c>
      <c r="R75" s="72">
        <f>(K75+Q75)*$L$71</f>
        <v>0</v>
      </c>
    </row>
    <row r="76" spans="2:19" ht="16.2" customHeight="1" x14ac:dyDescent="0.3">
      <c r="C76" s="50">
        <f>C75+1</f>
        <v>45993</v>
      </c>
      <c r="D76" s="66">
        <f>E75</f>
        <v>0</v>
      </c>
      <c r="E76" s="66">
        <f t="shared" ref="E76:E105" si="14">E75+G36</f>
        <v>0</v>
      </c>
      <c r="F76" s="66">
        <f>E76-D76</f>
        <v>0</v>
      </c>
      <c r="G76" s="67">
        <f t="shared" si="6"/>
        <v>0</v>
      </c>
      <c r="H76" s="68">
        <f t="shared" si="7"/>
        <v>0</v>
      </c>
      <c r="I76" s="68">
        <f t="shared" si="8"/>
        <v>0</v>
      </c>
      <c r="J76" s="69">
        <f t="shared" si="9"/>
        <v>0</v>
      </c>
      <c r="K76" s="70">
        <f t="shared" ref="K76:K105" si="15">ROUNDDOWN(G76+J76+H76+I76,4)</f>
        <v>0</v>
      </c>
      <c r="L76" s="70">
        <f t="shared" si="10"/>
        <v>0</v>
      </c>
      <c r="M76" s="70">
        <f t="shared" si="11"/>
        <v>0</v>
      </c>
      <c r="N76" s="71">
        <f t="shared" si="12"/>
        <v>0</v>
      </c>
      <c r="O76" s="57">
        <f t="shared" si="13"/>
        <v>0</v>
      </c>
      <c r="P76" s="57"/>
      <c r="Q76" s="72">
        <f t="shared" ref="Q76:Q105" si="16">IF(C76&lt;$D$17,0,$K$29)</f>
        <v>0</v>
      </c>
      <c r="R76" s="72">
        <f t="shared" ref="R76:R105" si="17">(K76+Q76)*$L$71</f>
        <v>0</v>
      </c>
    </row>
    <row r="77" spans="2:19" ht="16.2" customHeight="1" x14ac:dyDescent="0.3">
      <c r="C77" s="50">
        <f t="shared" ref="C77:C105" si="18">C76+1</f>
        <v>45994</v>
      </c>
      <c r="D77" s="66">
        <f>E76</f>
        <v>0</v>
      </c>
      <c r="E77" s="66">
        <f t="shared" si="14"/>
        <v>0</v>
      </c>
      <c r="F77" s="66">
        <f>E77-D77</f>
        <v>0</v>
      </c>
      <c r="G77" s="67">
        <f t="shared" si="6"/>
        <v>0</v>
      </c>
      <c r="H77" s="68">
        <f t="shared" si="7"/>
        <v>0</v>
      </c>
      <c r="I77" s="68">
        <f t="shared" si="8"/>
        <v>0</v>
      </c>
      <c r="J77" s="69">
        <f t="shared" si="9"/>
        <v>0</v>
      </c>
      <c r="K77" s="70">
        <f t="shared" si="15"/>
        <v>0</v>
      </c>
      <c r="L77" s="70">
        <f t="shared" si="10"/>
        <v>0</v>
      </c>
      <c r="M77" s="70">
        <f t="shared" si="11"/>
        <v>0</v>
      </c>
      <c r="N77" s="71">
        <f t="shared" si="12"/>
        <v>0</v>
      </c>
      <c r="O77" s="57">
        <f t="shared" si="13"/>
        <v>0</v>
      </c>
      <c r="P77" s="57"/>
      <c r="Q77" s="72">
        <f t="shared" si="16"/>
        <v>0</v>
      </c>
      <c r="R77" s="72">
        <f t="shared" si="17"/>
        <v>0</v>
      </c>
    </row>
    <row r="78" spans="2:19" ht="16.2" customHeight="1" x14ac:dyDescent="0.3">
      <c r="C78" s="50">
        <f t="shared" si="18"/>
        <v>45995</v>
      </c>
      <c r="D78" s="66">
        <f t="shared" ref="D78:D105" si="19">E77</f>
        <v>0</v>
      </c>
      <c r="E78" s="66">
        <f t="shared" si="14"/>
        <v>0</v>
      </c>
      <c r="F78" s="66">
        <f t="shared" ref="F78:F105" si="20">E78-D78</f>
        <v>0</v>
      </c>
      <c r="G78" s="67">
        <f t="shared" si="6"/>
        <v>0</v>
      </c>
      <c r="H78" s="68">
        <f t="shared" si="7"/>
        <v>0</v>
      </c>
      <c r="I78" s="68">
        <f t="shared" si="8"/>
        <v>0</v>
      </c>
      <c r="J78" s="69">
        <f t="shared" si="9"/>
        <v>0</v>
      </c>
      <c r="K78" s="70">
        <f t="shared" si="15"/>
        <v>0</v>
      </c>
      <c r="L78" s="70">
        <f t="shared" si="10"/>
        <v>0</v>
      </c>
      <c r="M78" s="70">
        <f t="shared" si="11"/>
        <v>0</v>
      </c>
      <c r="N78" s="71">
        <f t="shared" si="12"/>
        <v>0</v>
      </c>
      <c r="O78" s="57">
        <f t="shared" si="13"/>
        <v>0</v>
      </c>
      <c r="P78" s="57"/>
      <c r="Q78" s="72">
        <f t="shared" si="16"/>
        <v>0</v>
      </c>
      <c r="R78" s="72">
        <f t="shared" si="17"/>
        <v>0</v>
      </c>
    </row>
    <row r="79" spans="2:19" ht="16.2" customHeight="1" x14ac:dyDescent="0.3">
      <c r="C79" s="50">
        <f t="shared" si="18"/>
        <v>45996</v>
      </c>
      <c r="D79" s="66">
        <f t="shared" si="19"/>
        <v>0</v>
      </c>
      <c r="E79" s="66">
        <f t="shared" si="14"/>
        <v>0</v>
      </c>
      <c r="F79" s="66">
        <f t="shared" si="20"/>
        <v>0</v>
      </c>
      <c r="G79" s="67">
        <f t="shared" si="6"/>
        <v>0</v>
      </c>
      <c r="H79" s="68">
        <f t="shared" si="7"/>
        <v>0</v>
      </c>
      <c r="I79" s="68">
        <f t="shared" si="8"/>
        <v>0</v>
      </c>
      <c r="J79" s="69">
        <f t="shared" si="9"/>
        <v>0</v>
      </c>
      <c r="K79" s="70">
        <f t="shared" si="15"/>
        <v>0</v>
      </c>
      <c r="L79" s="70">
        <f t="shared" si="10"/>
        <v>0</v>
      </c>
      <c r="M79" s="70">
        <f t="shared" si="11"/>
        <v>0</v>
      </c>
      <c r="N79" s="71">
        <f t="shared" si="12"/>
        <v>0</v>
      </c>
      <c r="O79" s="57">
        <f t="shared" si="13"/>
        <v>0</v>
      </c>
      <c r="P79" s="57"/>
      <c r="Q79" s="72">
        <f t="shared" si="16"/>
        <v>0</v>
      </c>
      <c r="R79" s="72">
        <f t="shared" si="17"/>
        <v>0</v>
      </c>
    </row>
    <row r="80" spans="2:19" ht="16.2" customHeight="1" x14ac:dyDescent="0.3">
      <c r="C80" s="50">
        <f t="shared" si="18"/>
        <v>45997</v>
      </c>
      <c r="D80" s="66">
        <f t="shared" si="19"/>
        <v>0</v>
      </c>
      <c r="E80" s="66">
        <f t="shared" si="14"/>
        <v>0</v>
      </c>
      <c r="F80" s="66">
        <f t="shared" si="20"/>
        <v>0</v>
      </c>
      <c r="G80" s="67">
        <f t="shared" si="6"/>
        <v>0</v>
      </c>
      <c r="H80" s="68">
        <f t="shared" si="7"/>
        <v>0</v>
      </c>
      <c r="I80" s="68">
        <f t="shared" si="8"/>
        <v>0</v>
      </c>
      <c r="J80" s="69">
        <f t="shared" si="9"/>
        <v>0</v>
      </c>
      <c r="K80" s="70">
        <f t="shared" si="15"/>
        <v>0</v>
      </c>
      <c r="L80" s="70">
        <f t="shared" si="10"/>
        <v>0</v>
      </c>
      <c r="M80" s="70">
        <f t="shared" si="11"/>
        <v>0</v>
      </c>
      <c r="N80" s="71">
        <f t="shared" si="12"/>
        <v>0</v>
      </c>
      <c r="O80" s="57">
        <f t="shared" si="13"/>
        <v>0</v>
      </c>
      <c r="P80" s="57"/>
      <c r="Q80" s="72">
        <f t="shared" si="16"/>
        <v>0</v>
      </c>
      <c r="R80" s="72">
        <f t="shared" si="17"/>
        <v>0</v>
      </c>
    </row>
    <row r="81" spans="3:18" ht="16.2" customHeight="1" x14ac:dyDescent="0.3">
      <c r="C81" s="50">
        <f t="shared" si="18"/>
        <v>45998</v>
      </c>
      <c r="D81" s="66">
        <f t="shared" si="19"/>
        <v>0</v>
      </c>
      <c r="E81" s="66">
        <f t="shared" si="14"/>
        <v>0</v>
      </c>
      <c r="F81" s="66">
        <f t="shared" si="20"/>
        <v>0</v>
      </c>
      <c r="G81" s="67">
        <f t="shared" si="6"/>
        <v>0</v>
      </c>
      <c r="H81" s="68">
        <f t="shared" si="7"/>
        <v>0</v>
      </c>
      <c r="I81" s="68">
        <f t="shared" si="8"/>
        <v>0</v>
      </c>
      <c r="J81" s="69">
        <f t="shared" si="9"/>
        <v>0</v>
      </c>
      <c r="K81" s="70">
        <f t="shared" si="15"/>
        <v>0</v>
      </c>
      <c r="L81" s="70">
        <f t="shared" si="10"/>
        <v>0</v>
      </c>
      <c r="M81" s="70">
        <f t="shared" si="11"/>
        <v>0</v>
      </c>
      <c r="N81" s="71">
        <f t="shared" si="12"/>
        <v>0</v>
      </c>
      <c r="O81" s="57">
        <f t="shared" si="13"/>
        <v>0</v>
      </c>
      <c r="P81" s="57"/>
      <c r="Q81" s="72">
        <f t="shared" si="16"/>
        <v>0</v>
      </c>
      <c r="R81" s="72">
        <f t="shared" si="17"/>
        <v>0</v>
      </c>
    </row>
    <row r="82" spans="3:18" ht="16.2" customHeight="1" x14ac:dyDescent="0.3">
      <c r="C82" s="50">
        <f t="shared" si="18"/>
        <v>45999</v>
      </c>
      <c r="D82" s="66">
        <f t="shared" si="19"/>
        <v>0</v>
      </c>
      <c r="E82" s="66">
        <f t="shared" si="14"/>
        <v>0</v>
      </c>
      <c r="F82" s="66">
        <f t="shared" si="20"/>
        <v>0</v>
      </c>
      <c r="G82" s="67">
        <f t="shared" si="6"/>
        <v>0</v>
      </c>
      <c r="H82" s="68">
        <f t="shared" si="7"/>
        <v>0</v>
      </c>
      <c r="I82" s="68">
        <f t="shared" si="8"/>
        <v>0</v>
      </c>
      <c r="J82" s="69">
        <f t="shared" si="9"/>
        <v>0</v>
      </c>
      <c r="K82" s="70">
        <f t="shared" si="15"/>
        <v>0</v>
      </c>
      <c r="L82" s="70">
        <f t="shared" si="10"/>
        <v>0</v>
      </c>
      <c r="M82" s="70">
        <f t="shared" si="11"/>
        <v>0</v>
      </c>
      <c r="N82" s="71">
        <f t="shared" si="12"/>
        <v>0</v>
      </c>
      <c r="O82" s="57">
        <f t="shared" si="13"/>
        <v>0</v>
      </c>
      <c r="P82" s="57"/>
      <c r="Q82" s="72">
        <f t="shared" si="16"/>
        <v>0</v>
      </c>
      <c r="R82" s="72">
        <f t="shared" si="17"/>
        <v>0</v>
      </c>
    </row>
    <row r="83" spans="3:18" ht="16.2" customHeight="1" x14ac:dyDescent="0.3">
      <c r="C83" s="50">
        <f t="shared" si="18"/>
        <v>46000</v>
      </c>
      <c r="D83" s="66">
        <f t="shared" si="19"/>
        <v>0</v>
      </c>
      <c r="E83" s="66">
        <f t="shared" si="14"/>
        <v>0</v>
      </c>
      <c r="F83" s="66">
        <f t="shared" si="20"/>
        <v>0</v>
      </c>
      <c r="G83" s="67">
        <f t="shared" si="6"/>
        <v>0</v>
      </c>
      <c r="H83" s="68">
        <f t="shared" si="7"/>
        <v>0</v>
      </c>
      <c r="I83" s="68">
        <f t="shared" si="8"/>
        <v>0</v>
      </c>
      <c r="J83" s="69">
        <f t="shared" si="9"/>
        <v>0</v>
      </c>
      <c r="K83" s="70">
        <f t="shared" si="15"/>
        <v>0</v>
      </c>
      <c r="L83" s="70">
        <f t="shared" si="10"/>
        <v>0</v>
      </c>
      <c r="M83" s="70">
        <f t="shared" si="11"/>
        <v>0</v>
      </c>
      <c r="N83" s="71">
        <f t="shared" si="12"/>
        <v>0</v>
      </c>
      <c r="O83" s="57">
        <f t="shared" si="13"/>
        <v>0</v>
      </c>
      <c r="P83" s="57"/>
      <c r="Q83" s="72">
        <f t="shared" si="16"/>
        <v>0</v>
      </c>
      <c r="R83" s="72">
        <f t="shared" si="17"/>
        <v>0</v>
      </c>
    </row>
    <row r="84" spans="3:18" ht="14.4" x14ac:dyDescent="0.3">
      <c r="C84" s="50">
        <f t="shared" si="18"/>
        <v>46001</v>
      </c>
      <c r="D84" s="66">
        <f t="shared" si="19"/>
        <v>0</v>
      </c>
      <c r="E84" s="66">
        <f t="shared" si="14"/>
        <v>0</v>
      </c>
      <c r="F84" s="66">
        <f t="shared" si="20"/>
        <v>0</v>
      </c>
      <c r="G84" s="67">
        <f t="shared" si="6"/>
        <v>0</v>
      </c>
      <c r="H84" s="68">
        <f t="shared" si="7"/>
        <v>0</v>
      </c>
      <c r="I84" s="68">
        <f t="shared" si="8"/>
        <v>0</v>
      </c>
      <c r="J84" s="69">
        <f t="shared" si="9"/>
        <v>0</v>
      </c>
      <c r="K84" s="70">
        <f t="shared" si="15"/>
        <v>0</v>
      </c>
      <c r="L84" s="70">
        <f t="shared" si="10"/>
        <v>0</v>
      </c>
      <c r="M84" s="70">
        <f t="shared" si="11"/>
        <v>0</v>
      </c>
      <c r="N84" s="71">
        <f t="shared" si="12"/>
        <v>0</v>
      </c>
      <c r="O84" s="57">
        <f t="shared" si="13"/>
        <v>0</v>
      </c>
      <c r="P84" s="57"/>
      <c r="Q84" s="72">
        <f t="shared" si="16"/>
        <v>0</v>
      </c>
      <c r="R84" s="72">
        <f t="shared" si="17"/>
        <v>0</v>
      </c>
    </row>
    <row r="85" spans="3:18" ht="16.2" customHeight="1" x14ac:dyDescent="0.3">
      <c r="C85" s="50">
        <f t="shared" si="18"/>
        <v>46002</v>
      </c>
      <c r="D85" s="66">
        <f t="shared" si="19"/>
        <v>0</v>
      </c>
      <c r="E85" s="66">
        <f t="shared" si="14"/>
        <v>0</v>
      </c>
      <c r="F85" s="66">
        <f t="shared" si="20"/>
        <v>0</v>
      </c>
      <c r="G85" s="67">
        <f t="shared" si="6"/>
        <v>0</v>
      </c>
      <c r="H85" s="68">
        <f t="shared" si="7"/>
        <v>0</v>
      </c>
      <c r="I85" s="68">
        <f t="shared" si="8"/>
        <v>0</v>
      </c>
      <c r="J85" s="69">
        <f t="shared" si="9"/>
        <v>0</v>
      </c>
      <c r="K85" s="70">
        <f t="shared" si="15"/>
        <v>0</v>
      </c>
      <c r="L85" s="70">
        <f t="shared" si="10"/>
        <v>0</v>
      </c>
      <c r="M85" s="70">
        <f t="shared" si="11"/>
        <v>0</v>
      </c>
      <c r="N85" s="71">
        <f t="shared" si="12"/>
        <v>0</v>
      </c>
      <c r="O85" s="57">
        <f t="shared" si="13"/>
        <v>0</v>
      </c>
      <c r="P85" s="57"/>
      <c r="Q85" s="72">
        <f t="shared" si="16"/>
        <v>0</v>
      </c>
      <c r="R85" s="72">
        <f t="shared" si="17"/>
        <v>0</v>
      </c>
    </row>
    <row r="86" spans="3:18" ht="16.2" customHeight="1" x14ac:dyDescent="0.3">
      <c r="C86" s="50">
        <f t="shared" si="18"/>
        <v>46003</v>
      </c>
      <c r="D86" s="66">
        <f t="shared" si="19"/>
        <v>0</v>
      </c>
      <c r="E86" s="66">
        <f t="shared" si="14"/>
        <v>0</v>
      </c>
      <c r="F86" s="66">
        <f t="shared" si="20"/>
        <v>0</v>
      </c>
      <c r="G86" s="67">
        <f t="shared" si="6"/>
        <v>0</v>
      </c>
      <c r="H86" s="68">
        <f t="shared" si="7"/>
        <v>0</v>
      </c>
      <c r="I86" s="68">
        <f t="shared" si="8"/>
        <v>0</v>
      </c>
      <c r="J86" s="69">
        <f t="shared" si="9"/>
        <v>0</v>
      </c>
      <c r="K86" s="70">
        <f t="shared" si="15"/>
        <v>0</v>
      </c>
      <c r="L86" s="70">
        <f t="shared" si="10"/>
        <v>0</v>
      </c>
      <c r="M86" s="70">
        <f t="shared" si="11"/>
        <v>0</v>
      </c>
      <c r="N86" s="71">
        <f t="shared" si="12"/>
        <v>0</v>
      </c>
      <c r="O86" s="57">
        <f t="shared" si="13"/>
        <v>0</v>
      </c>
      <c r="P86" s="57"/>
      <c r="Q86" s="72">
        <f t="shared" si="16"/>
        <v>0</v>
      </c>
      <c r="R86" s="72">
        <f t="shared" si="17"/>
        <v>0</v>
      </c>
    </row>
    <row r="87" spans="3:18" ht="16.2" customHeight="1" x14ac:dyDescent="0.3">
      <c r="C87" s="50">
        <f t="shared" si="18"/>
        <v>46004</v>
      </c>
      <c r="D87" s="66">
        <f t="shared" si="19"/>
        <v>0</v>
      </c>
      <c r="E87" s="66">
        <f t="shared" si="14"/>
        <v>0</v>
      </c>
      <c r="F87" s="66">
        <f t="shared" si="20"/>
        <v>0</v>
      </c>
      <c r="G87" s="67">
        <f t="shared" si="6"/>
        <v>0</v>
      </c>
      <c r="H87" s="68">
        <f t="shared" si="7"/>
        <v>0</v>
      </c>
      <c r="I87" s="68">
        <f t="shared" si="8"/>
        <v>0</v>
      </c>
      <c r="J87" s="69">
        <f t="shared" si="9"/>
        <v>0</v>
      </c>
      <c r="K87" s="70">
        <f t="shared" si="15"/>
        <v>0</v>
      </c>
      <c r="L87" s="70">
        <f t="shared" si="10"/>
        <v>0</v>
      </c>
      <c r="M87" s="70">
        <f t="shared" si="11"/>
        <v>0</v>
      </c>
      <c r="N87" s="71">
        <f t="shared" si="12"/>
        <v>0</v>
      </c>
      <c r="O87" s="57">
        <f t="shared" si="13"/>
        <v>0</v>
      </c>
      <c r="P87" s="57"/>
      <c r="Q87" s="72">
        <f t="shared" si="16"/>
        <v>0</v>
      </c>
      <c r="R87" s="72">
        <f t="shared" si="17"/>
        <v>0</v>
      </c>
    </row>
    <row r="88" spans="3:18" ht="16.2" customHeight="1" x14ac:dyDescent="0.3">
      <c r="C88" s="50">
        <f t="shared" si="18"/>
        <v>46005</v>
      </c>
      <c r="D88" s="66">
        <f t="shared" si="19"/>
        <v>0</v>
      </c>
      <c r="E88" s="66">
        <f t="shared" si="14"/>
        <v>900</v>
      </c>
      <c r="F88" s="66">
        <f t="shared" si="20"/>
        <v>900</v>
      </c>
      <c r="G88" s="67">
        <f t="shared" si="6"/>
        <v>9045</v>
      </c>
      <c r="H88" s="68">
        <f t="shared" si="7"/>
        <v>3780</v>
      </c>
      <c r="I88" s="68">
        <f t="shared" si="8"/>
        <v>3497.7272727272734</v>
      </c>
      <c r="J88" s="69">
        <f t="shared" si="9"/>
        <v>258.08889999999997</v>
      </c>
      <c r="K88" s="70">
        <f t="shared" si="15"/>
        <v>16580.8161</v>
      </c>
      <c r="L88" s="70">
        <f t="shared" si="10"/>
        <v>331.61630000000002</v>
      </c>
      <c r="M88" s="70">
        <f t="shared" si="11"/>
        <v>16912.432400000002</v>
      </c>
      <c r="N88" s="71">
        <f t="shared" si="12"/>
        <v>250000</v>
      </c>
      <c r="O88" s="57">
        <f t="shared" si="13"/>
        <v>233087.56760000001</v>
      </c>
      <c r="P88" s="57"/>
      <c r="Q88" s="72">
        <f t="shared" si="16"/>
        <v>309.70666666666671</v>
      </c>
      <c r="R88" s="72">
        <f t="shared" si="17"/>
        <v>337.81045533333332</v>
      </c>
    </row>
    <row r="89" spans="3:18" ht="16.2" customHeight="1" x14ac:dyDescent="0.3">
      <c r="C89" s="50">
        <f t="shared" si="18"/>
        <v>46006</v>
      </c>
      <c r="D89" s="66">
        <f t="shared" si="19"/>
        <v>900</v>
      </c>
      <c r="E89" s="66">
        <f t="shared" si="14"/>
        <v>1777.7777777777778</v>
      </c>
      <c r="F89" s="66">
        <f t="shared" si="20"/>
        <v>877.77777777777783</v>
      </c>
      <c r="G89" s="67">
        <f t="shared" si="6"/>
        <v>8821.6666666666679</v>
      </c>
      <c r="H89" s="68">
        <f t="shared" si="7"/>
        <v>3686.6666666666665</v>
      </c>
      <c r="I89" s="68">
        <f t="shared" si="8"/>
        <v>3411.3636363636369</v>
      </c>
      <c r="J89" s="69">
        <f t="shared" si="9"/>
        <v>258.08889999999997</v>
      </c>
      <c r="K89" s="70">
        <f t="shared" si="15"/>
        <v>16177.7858</v>
      </c>
      <c r="L89" s="70">
        <f t="shared" si="10"/>
        <v>323.5557</v>
      </c>
      <c r="M89" s="70">
        <f t="shared" si="11"/>
        <v>16501.341499999999</v>
      </c>
      <c r="N89" s="71">
        <f t="shared" si="12"/>
        <v>0</v>
      </c>
      <c r="O89" s="57">
        <f t="shared" si="13"/>
        <v>216586.2261</v>
      </c>
      <c r="P89" s="57"/>
      <c r="Q89" s="72">
        <f t="shared" si="16"/>
        <v>309.70666666666671</v>
      </c>
      <c r="R89" s="72">
        <f t="shared" si="17"/>
        <v>329.74984933333332</v>
      </c>
    </row>
    <row r="90" spans="3:18" ht="16.2" customHeight="1" x14ac:dyDescent="0.3">
      <c r="C90" s="50">
        <f t="shared" si="18"/>
        <v>46007</v>
      </c>
      <c r="D90" s="66">
        <f t="shared" si="19"/>
        <v>1777.7777777777778</v>
      </c>
      <c r="E90" s="66">
        <f t="shared" si="14"/>
        <v>2722.2222222222222</v>
      </c>
      <c r="F90" s="66">
        <f t="shared" si="20"/>
        <v>944.44444444444434</v>
      </c>
      <c r="G90" s="67">
        <f t="shared" si="6"/>
        <v>9491.6666666666679</v>
      </c>
      <c r="H90" s="68">
        <f t="shared" si="7"/>
        <v>3966.6666666666665</v>
      </c>
      <c r="I90" s="68">
        <f t="shared" si="8"/>
        <v>3670.4545454545455</v>
      </c>
      <c r="J90" s="69">
        <f t="shared" si="9"/>
        <v>258.08889999999997</v>
      </c>
      <c r="K90" s="70">
        <f t="shared" si="15"/>
        <v>17386.876700000001</v>
      </c>
      <c r="L90" s="70">
        <f t="shared" si="10"/>
        <v>347.73750000000001</v>
      </c>
      <c r="M90" s="70">
        <f t="shared" si="11"/>
        <v>17734.6142</v>
      </c>
      <c r="N90" s="71">
        <f t="shared" si="12"/>
        <v>0</v>
      </c>
      <c r="O90" s="57">
        <f t="shared" si="13"/>
        <v>198851.61189999999</v>
      </c>
      <c r="P90" s="57"/>
      <c r="Q90" s="72">
        <f t="shared" si="16"/>
        <v>309.70666666666671</v>
      </c>
      <c r="R90" s="72">
        <f t="shared" si="17"/>
        <v>353.93166733333334</v>
      </c>
    </row>
    <row r="91" spans="3:18" ht="16.2" customHeight="1" x14ac:dyDescent="0.3">
      <c r="C91" s="50">
        <f t="shared" si="18"/>
        <v>46008</v>
      </c>
      <c r="D91" s="66">
        <f t="shared" si="19"/>
        <v>2722.2222222222222</v>
      </c>
      <c r="E91" s="66">
        <f t="shared" si="14"/>
        <v>3600</v>
      </c>
      <c r="F91" s="66">
        <f t="shared" si="20"/>
        <v>877.77777777777783</v>
      </c>
      <c r="G91" s="67">
        <f t="shared" si="6"/>
        <v>8821.6666666666679</v>
      </c>
      <c r="H91" s="68">
        <f t="shared" si="7"/>
        <v>3686.6666666666665</v>
      </c>
      <c r="I91" s="68">
        <f t="shared" si="8"/>
        <v>3411.3636363636369</v>
      </c>
      <c r="J91" s="69">
        <f t="shared" si="9"/>
        <v>258.08889999999997</v>
      </c>
      <c r="K91" s="70">
        <f t="shared" si="15"/>
        <v>16177.7858</v>
      </c>
      <c r="L91" s="70">
        <f t="shared" si="10"/>
        <v>323.5557</v>
      </c>
      <c r="M91" s="70">
        <f t="shared" si="11"/>
        <v>16501.341499999999</v>
      </c>
      <c r="N91" s="71">
        <f t="shared" si="12"/>
        <v>0</v>
      </c>
      <c r="O91" s="57">
        <f t="shared" si="13"/>
        <v>182350.27039999998</v>
      </c>
      <c r="P91" s="57"/>
      <c r="Q91" s="72">
        <f t="shared" si="16"/>
        <v>309.70666666666671</v>
      </c>
      <c r="R91" s="72">
        <f t="shared" si="17"/>
        <v>329.74984933333332</v>
      </c>
    </row>
    <row r="92" spans="3:18" ht="16.2" customHeight="1" x14ac:dyDescent="0.3">
      <c r="C92" s="50">
        <f t="shared" si="18"/>
        <v>46009</v>
      </c>
      <c r="D92" s="66">
        <f t="shared" si="19"/>
        <v>3600</v>
      </c>
      <c r="E92" s="66">
        <f t="shared" si="14"/>
        <v>4488.8888888888887</v>
      </c>
      <c r="F92" s="66">
        <f t="shared" si="20"/>
        <v>888.88888888888869</v>
      </c>
      <c r="G92" s="67">
        <f t="shared" si="6"/>
        <v>8933.3333333333339</v>
      </c>
      <c r="H92" s="68">
        <f t="shared" si="7"/>
        <v>3733.3333333333335</v>
      </c>
      <c r="I92" s="68">
        <f t="shared" si="8"/>
        <v>3454.545454545455</v>
      </c>
      <c r="J92" s="69">
        <f t="shared" si="9"/>
        <v>258.08889999999997</v>
      </c>
      <c r="K92" s="70">
        <f t="shared" si="15"/>
        <v>16379.300999999999</v>
      </c>
      <c r="L92" s="70">
        <f t="shared" si="10"/>
        <v>327.58600000000001</v>
      </c>
      <c r="M92" s="70">
        <f t="shared" si="11"/>
        <v>16706.886999999999</v>
      </c>
      <c r="N92" s="71">
        <f t="shared" si="12"/>
        <v>0</v>
      </c>
      <c r="O92" s="57">
        <f t="shared" si="13"/>
        <v>165643.38339999999</v>
      </c>
      <c r="P92" s="57"/>
      <c r="Q92" s="72">
        <f t="shared" si="16"/>
        <v>309.70666666666671</v>
      </c>
      <c r="R92" s="72">
        <f t="shared" si="17"/>
        <v>333.78015333333332</v>
      </c>
    </row>
    <row r="93" spans="3:18" ht="16.2" customHeight="1" x14ac:dyDescent="0.3">
      <c r="C93" s="50">
        <f t="shared" si="18"/>
        <v>46010</v>
      </c>
      <c r="D93" s="66">
        <f t="shared" si="19"/>
        <v>4488.8888888888887</v>
      </c>
      <c r="E93" s="66">
        <f t="shared" si="14"/>
        <v>5366.6666666666661</v>
      </c>
      <c r="F93" s="66">
        <f t="shared" si="20"/>
        <v>877.77777777777737</v>
      </c>
      <c r="G93" s="67">
        <f t="shared" si="6"/>
        <v>8821.6666666666679</v>
      </c>
      <c r="H93" s="68">
        <f t="shared" si="7"/>
        <v>3686.6666666666665</v>
      </c>
      <c r="I93" s="68">
        <f t="shared" si="8"/>
        <v>3411.3636363636369</v>
      </c>
      <c r="J93" s="69">
        <f t="shared" si="9"/>
        <v>258.08889999999997</v>
      </c>
      <c r="K93" s="70">
        <f t="shared" si="15"/>
        <v>16177.7858</v>
      </c>
      <c r="L93" s="70">
        <f t="shared" si="10"/>
        <v>323.5557</v>
      </c>
      <c r="M93" s="70">
        <f t="shared" si="11"/>
        <v>16501.341499999999</v>
      </c>
      <c r="N93" s="71">
        <f t="shared" si="12"/>
        <v>0</v>
      </c>
      <c r="O93" s="57">
        <f t="shared" si="13"/>
        <v>149142.04189999998</v>
      </c>
      <c r="P93" s="57"/>
      <c r="Q93" s="72">
        <f t="shared" si="16"/>
        <v>309.70666666666671</v>
      </c>
      <c r="R93" s="72">
        <f t="shared" si="17"/>
        <v>329.74984933333332</v>
      </c>
    </row>
    <row r="94" spans="3:18" ht="16.2" customHeight="1" x14ac:dyDescent="0.3">
      <c r="C94" s="50">
        <f t="shared" si="18"/>
        <v>46011</v>
      </c>
      <c r="D94" s="66">
        <f t="shared" si="19"/>
        <v>5366.6666666666661</v>
      </c>
      <c r="E94" s="66">
        <f t="shared" si="14"/>
        <v>6283.8383838383834</v>
      </c>
      <c r="F94" s="66">
        <f t="shared" si="20"/>
        <v>917.17171717171732</v>
      </c>
      <c r="G94" s="67">
        <f t="shared" si="6"/>
        <v>9217.575757575758</v>
      </c>
      <c r="H94" s="68">
        <f t="shared" si="7"/>
        <v>3850</v>
      </c>
      <c r="I94" s="68">
        <f t="shared" si="8"/>
        <v>3558.1818181818185</v>
      </c>
      <c r="J94" s="69">
        <f t="shared" si="9"/>
        <v>258.08889999999997</v>
      </c>
      <c r="K94" s="70">
        <f t="shared" si="15"/>
        <v>16883.846399999999</v>
      </c>
      <c r="L94" s="70">
        <f t="shared" si="10"/>
        <v>337.67689999999999</v>
      </c>
      <c r="M94" s="70">
        <f t="shared" si="11"/>
        <v>17221.523300000001</v>
      </c>
      <c r="N94" s="71">
        <f t="shared" si="12"/>
        <v>0</v>
      </c>
      <c r="O94" s="57">
        <f t="shared" si="13"/>
        <v>131920.51859999998</v>
      </c>
      <c r="P94" s="57"/>
      <c r="Q94" s="72">
        <f t="shared" si="16"/>
        <v>309.70666666666671</v>
      </c>
      <c r="R94" s="72">
        <f t="shared" si="17"/>
        <v>343.87106133333327</v>
      </c>
    </row>
    <row r="95" spans="3:18" ht="16.2" customHeight="1" x14ac:dyDescent="0.3">
      <c r="C95" s="50">
        <f t="shared" si="18"/>
        <v>46012</v>
      </c>
      <c r="D95" s="66">
        <f t="shared" si="19"/>
        <v>6283.8383838383834</v>
      </c>
      <c r="E95" s="66">
        <f t="shared" si="14"/>
        <v>7217.1717171717164</v>
      </c>
      <c r="F95" s="66">
        <f t="shared" si="20"/>
        <v>933.33333333333303</v>
      </c>
      <c r="G95" s="67">
        <f t="shared" si="6"/>
        <v>9380.0000000000018</v>
      </c>
      <c r="H95" s="68">
        <f t="shared" si="7"/>
        <v>3920</v>
      </c>
      <c r="I95" s="68">
        <f t="shared" si="8"/>
        <v>3627.2727272727275</v>
      </c>
      <c r="J95" s="69">
        <f t="shared" si="9"/>
        <v>258.08889999999997</v>
      </c>
      <c r="K95" s="70">
        <f t="shared" si="15"/>
        <v>17185.3616</v>
      </c>
      <c r="L95" s="70">
        <f t="shared" si="10"/>
        <v>343.7072</v>
      </c>
      <c r="M95" s="70">
        <f t="shared" si="11"/>
        <v>17529.068800000001</v>
      </c>
      <c r="N95" s="71">
        <f t="shared" si="12"/>
        <v>0</v>
      </c>
      <c r="O95" s="57">
        <f t="shared" si="13"/>
        <v>114391.44979999997</v>
      </c>
      <c r="P95" s="57"/>
      <c r="Q95" s="72">
        <f t="shared" si="16"/>
        <v>309.70666666666671</v>
      </c>
      <c r="R95" s="72">
        <f t="shared" si="17"/>
        <v>349.90136533333333</v>
      </c>
    </row>
    <row r="96" spans="3:18" ht="16.2" customHeight="1" x14ac:dyDescent="0.3">
      <c r="C96" s="50">
        <f t="shared" si="18"/>
        <v>46013</v>
      </c>
      <c r="D96" s="66">
        <f t="shared" si="19"/>
        <v>7217.1717171717164</v>
      </c>
      <c r="E96" s="66">
        <f t="shared" si="14"/>
        <v>8094.9494949494947</v>
      </c>
      <c r="F96" s="66">
        <f t="shared" si="20"/>
        <v>877.77777777777828</v>
      </c>
      <c r="G96" s="67">
        <f t="shared" si="6"/>
        <v>8821.6666666666679</v>
      </c>
      <c r="H96" s="68">
        <f t="shared" si="7"/>
        <v>3686.6666666666665</v>
      </c>
      <c r="I96" s="68">
        <f t="shared" si="8"/>
        <v>3411.3636363636369</v>
      </c>
      <c r="J96" s="69">
        <f t="shared" si="9"/>
        <v>258.08889999999997</v>
      </c>
      <c r="K96" s="70">
        <f t="shared" si="15"/>
        <v>16177.7858</v>
      </c>
      <c r="L96" s="70">
        <f t="shared" si="10"/>
        <v>323.5557</v>
      </c>
      <c r="M96" s="70">
        <f t="shared" si="11"/>
        <v>16501.341499999999</v>
      </c>
      <c r="N96" s="71">
        <f t="shared" si="12"/>
        <v>0</v>
      </c>
      <c r="O96" s="57">
        <f t="shared" si="13"/>
        <v>97890.108299999978</v>
      </c>
      <c r="P96" s="57"/>
      <c r="Q96" s="72">
        <f t="shared" si="16"/>
        <v>309.70666666666671</v>
      </c>
      <c r="R96" s="72">
        <f t="shared" si="17"/>
        <v>329.74984933333332</v>
      </c>
    </row>
    <row r="97" spans="3:18" ht="16.2" customHeight="1" x14ac:dyDescent="0.3">
      <c r="C97" s="50">
        <f t="shared" si="18"/>
        <v>46014</v>
      </c>
      <c r="D97" s="66">
        <f t="shared" si="19"/>
        <v>8094.9494949494947</v>
      </c>
      <c r="E97" s="66">
        <f t="shared" si="14"/>
        <v>8983.8383838383834</v>
      </c>
      <c r="F97" s="66">
        <f t="shared" si="20"/>
        <v>888.88888888888869</v>
      </c>
      <c r="G97" s="67">
        <f t="shared" si="6"/>
        <v>8933.3333333333339</v>
      </c>
      <c r="H97" s="68">
        <f t="shared" si="7"/>
        <v>3733.3333333333335</v>
      </c>
      <c r="I97" s="68">
        <f t="shared" si="8"/>
        <v>3454.545454545455</v>
      </c>
      <c r="J97" s="69">
        <f t="shared" si="9"/>
        <v>258.08889999999997</v>
      </c>
      <c r="K97" s="70">
        <f t="shared" si="15"/>
        <v>16379.300999999999</v>
      </c>
      <c r="L97" s="70">
        <f t="shared" si="10"/>
        <v>327.58600000000001</v>
      </c>
      <c r="M97" s="70">
        <f t="shared" si="11"/>
        <v>16706.886999999999</v>
      </c>
      <c r="N97" s="71">
        <f t="shared" si="12"/>
        <v>0</v>
      </c>
      <c r="O97" s="57">
        <f t="shared" si="13"/>
        <v>81183.221299999976</v>
      </c>
      <c r="P97" s="57"/>
      <c r="Q97" s="72">
        <f t="shared" si="16"/>
        <v>309.70666666666671</v>
      </c>
      <c r="R97" s="72">
        <f t="shared" si="17"/>
        <v>333.78015333333332</v>
      </c>
    </row>
    <row r="98" spans="3:18" ht="16.2" customHeight="1" x14ac:dyDescent="0.3">
      <c r="C98" s="50">
        <f t="shared" si="18"/>
        <v>46015</v>
      </c>
      <c r="D98" s="66">
        <f t="shared" si="19"/>
        <v>8983.8383838383834</v>
      </c>
      <c r="E98" s="66">
        <f t="shared" si="14"/>
        <v>9956.5656565656554</v>
      </c>
      <c r="F98" s="66">
        <f t="shared" si="20"/>
        <v>972.72727272727207</v>
      </c>
      <c r="G98" s="67">
        <f t="shared" si="6"/>
        <v>9775.9090909090919</v>
      </c>
      <c r="H98" s="68">
        <f t="shared" si="7"/>
        <v>4083.3333333333335</v>
      </c>
      <c r="I98" s="68">
        <f t="shared" si="8"/>
        <v>3774.0909090909095</v>
      </c>
      <c r="J98" s="69">
        <f t="shared" si="9"/>
        <v>258.08889999999997</v>
      </c>
      <c r="K98" s="70">
        <f t="shared" si="15"/>
        <v>17891.422200000001</v>
      </c>
      <c r="L98" s="70">
        <f t="shared" si="10"/>
        <v>357.82839999999999</v>
      </c>
      <c r="M98" s="70">
        <f t="shared" si="11"/>
        <v>18249.250599999999</v>
      </c>
      <c r="N98" s="71">
        <f t="shared" si="12"/>
        <v>0</v>
      </c>
      <c r="O98" s="57">
        <f t="shared" si="13"/>
        <v>62933.970699999976</v>
      </c>
      <c r="P98" s="57"/>
      <c r="Q98" s="72">
        <f t="shared" si="16"/>
        <v>309.70666666666671</v>
      </c>
      <c r="R98" s="72">
        <f t="shared" si="17"/>
        <v>364.02257733333334</v>
      </c>
    </row>
    <row r="99" spans="3:18" ht="16.2" customHeight="1" x14ac:dyDescent="0.3">
      <c r="C99" s="50">
        <f t="shared" si="18"/>
        <v>46016</v>
      </c>
      <c r="D99" s="66">
        <f t="shared" si="19"/>
        <v>9956.5656565656554</v>
      </c>
      <c r="E99" s="66">
        <f t="shared" si="14"/>
        <v>10945.454545454544</v>
      </c>
      <c r="F99" s="66">
        <f t="shared" si="20"/>
        <v>988.88888888888869</v>
      </c>
      <c r="G99" s="67">
        <f t="shared" si="6"/>
        <v>9938.3333333333339</v>
      </c>
      <c r="H99" s="68">
        <f t="shared" si="7"/>
        <v>4153.333333333333</v>
      </c>
      <c r="I99" s="68">
        <f t="shared" si="8"/>
        <v>3843.1818181818185</v>
      </c>
      <c r="J99" s="69">
        <f t="shared" si="9"/>
        <v>258.08889999999997</v>
      </c>
      <c r="K99" s="70">
        <f t="shared" si="15"/>
        <v>18192.937300000001</v>
      </c>
      <c r="L99" s="70">
        <f t="shared" si="10"/>
        <v>363.8587</v>
      </c>
      <c r="M99" s="70">
        <f t="shared" si="11"/>
        <v>18556.795999999998</v>
      </c>
      <c r="N99" s="71">
        <f t="shared" si="12"/>
        <v>0</v>
      </c>
      <c r="O99" s="57">
        <f t="shared" si="13"/>
        <v>44377.174699999974</v>
      </c>
      <c r="P99" s="57"/>
      <c r="Q99" s="72">
        <f t="shared" si="16"/>
        <v>309.70666666666671</v>
      </c>
      <c r="R99" s="72">
        <f t="shared" si="17"/>
        <v>370.05287933333335</v>
      </c>
    </row>
    <row r="100" spans="3:18" ht="16.2" customHeight="1" x14ac:dyDescent="0.3">
      <c r="C100" s="50">
        <f t="shared" si="18"/>
        <v>46017</v>
      </c>
      <c r="D100" s="66">
        <f t="shared" si="19"/>
        <v>10945.454545454544</v>
      </c>
      <c r="E100" s="66">
        <f t="shared" si="14"/>
        <v>11823.232323232322</v>
      </c>
      <c r="F100" s="66">
        <f t="shared" si="20"/>
        <v>877.77777777777737</v>
      </c>
      <c r="G100" s="67">
        <f t="shared" si="6"/>
        <v>8821.6666666666679</v>
      </c>
      <c r="H100" s="68">
        <f t="shared" si="7"/>
        <v>3686.6666666666665</v>
      </c>
      <c r="I100" s="68">
        <f t="shared" si="8"/>
        <v>3411.3636363636369</v>
      </c>
      <c r="J100" s="69">
        <f t="shared" si="9"/>
        <v>258.08889999999997</v>
      </c>
      <c r="K100" s="70">
        <f t="shared" si="15"/>
        <v>16177.7858</v>
      </c>
      <c r="L100" s="70">
        <f t="shared" si="10"/>
        <v>323.5557</v>
      </c>
      <c r="M100" s="70">
        <f t="shared" si="11"/>
        <v>16501.341499999999</v>
      </c>
      <c r="N100" s="71">
        <f t="shared" si="12"/>
        <v>0</v>
      </c>
      <c r="O100" s="57">
        <f t="shared" si="13"/>
        <v>27875.833199999975</v>
      </c>
      <c r="P100" s="57"/>
      <c r="Q100" s="72">
        <f t="shared" si="16"/>
        <v>309.70666666666671</v>
      </c>
      <c r="R100" s="72">
        <f t="shared" si="17"/>
        <v>329.74984933333332</v>
      </c>
    </row>
    <row r="101" spans="3:18" ht="16.2" customHeight="1" x14ac:dyDescent="0.3">
      <c r="C101" s="50">
        <f t="shared" si="18"/>
        <v>46018</v>
      </c>
      <c r="D101" s="66">
        <f t="shared" si="19"/>
        <v>11823.232323232322</v>
      </c>
      <c r="E101" s="66">
        <f t="shared" si="14"/>
        <v>12684.848484848484</v>
      </c>
      <c r="F101" s="66">
        <f t="shared" si="20"/>
        <v>861.61616161616257</v>
      </c>
      <c r="G101" s="67">
        <f t="shared" si="6"/>
        <v>8659.2424242424258</v>
      </c>
      <c r="H101" s="68">
        <f t="shared" si="7"/>
        <v>3616.6666666666665</v>
      </c>
      <c r="I101" s="68">
        <f t="shared" si="8"/>
        <v>3342.2727272727279</v>
      </c>
      <c r="J101" s="69">
        <f t="shared" si="9"/>
        <v>258.08889999999997</v>
      </c>
      <c r="K101" s="70">
        <f t="shared" si="15"/>
        <v>15876.270699999999</v>
      </c>
      <c r="L101" s="70">
        <f t="shared" si="10"/>
        <v>317.52539999999999</v>
      </c>
      <c r="M101" s="70">
        <f t="shared" si="11"/>
        <v>16193.7961</v>
      </c>
      <c r="N101" s="71">
        <f t="shared" si="12"/>
        <v>0</v>
      </c>
      <c r="O101" s="57">
        <f t="shared" si="13"/>
        <v>11682.037099999976</v>
      </c>
      <c r="P101" s="57"/>
      <c r="Q101" s="72">
        <f t="shared" si="16"/>
        <v>309.70666666666671</v>
      </c>
      <c r="R101" s="72">
        <f t="shared" si="17"/>
        <v>323.71954733333331</v>
      </c>
    </row>
    <row r="102" spans="3:18" ht="16.2" customHeight="1" x14ac:dyDescent="0.3">
      <c r="C102" s="50">
        <f t="shared" si="18"/>
        <v>46019</v>
      </c>
      <c r="D102" s="66">
        <f t="shared" si="19"/>
        <v>12684.848484848484</v>
      </c>
      <c r="E102" s="66">
        <f t="shared" si="14"/>
        <v>13573.737373737373</v>
      </c>
      <c r="F102" s="66">
        <f t="shared" si="20"/>
        <v>888.88888888888869</v>
      </c>
      <c r="G102" s="67">
        <f t="shared" si="6"/>
        <v>8933.3333333333339</v>
      </c>
      <c r="H102" s="68">
        <f t="shared" si="7"/>
        <v>3733.3333333333335</v>
      </c>
      <c r="I102" s="68">
        <f t="shared" si="8"/>
        <v>3454.545454545455</v>
      </c>
      <c r="J102" s="69">
        <f t="shared" si="9"/>
        <v>258.08889999999997</v>
      </c>
      <c r="K102" s="70">
        <f t="shared" si="15"/>
        <v>16379.300999999999</v>
      </c>
      <c r="L102" s="70">
        <f t="shared" si="10"/>
        <v>327.58600000000001</v>
      </c>
      <c r="M102" s="70">
        <f t="shared" si="11"/>
        <v>16706.886999999999</v>
      </c>
      <c r="N102" s="71">
        <f t="shared" si="12"/>
        <v>0</v>
      </c>
      <c r="O102" s="57">
        <f t="shared" si="13"/>
        <v>-5024.8499000000229</v>
      </c>
      <c r="P102" s="57"/>
      <c r="Q102" s="72">
        <f t="shared" si="16"/>
        <v>309.70666666666671</v>
      </c>
      <c r="R102" s="72">
        <f t="shared" si="17"/>
        <v>333.78015333333332</v>
      </c>
    </row>
    <row r="103" spans="3:18" ht="16.2" customHeight="1" x14ac:dyDescent="0.3">
      <c r="C103" s="50">
        <f t="shared" si="18"/>
        <v>46020</v>
      </c>
      <c r="D103" s="66">
        <f t="shared" si="19"/>
        <v>13573.737373737373</v>
      </c>
      <c r="E103" s="66">
        <f t="shared" si="14"/>
        <v>14451.51515151515</v>
      </c>
      <c r="F103" s="66">
        <f t="shared" si="20"/>
        <v>877.77777777777737</v>
      </c>
      <c r="G103" s="67">
        <f t="shared" si="6"/>
        <v>8821.6666666666679</v>
      </c>
      <c r="H103" s="68">
        <f t="shared" si="7"/>
        <v>3686.6666666666665</v>
      </c>
      <c r="I103" s="68">
        <f t="shared" si="8"/>
        <v>3411.3636363636369</v>
      </c>
      <c r="J103" s="69">
        <f t="shared" si="9"/>
        <v>258.08889999999997</v>
      </c>
      <c r="K103" s="70">
        <f t="shared" si="15"/>
        <v>16177.7858</v>
      </c>
      <c r="L103" s="70">
        <f t="shared" si="10"/>
        <v>323.5557</v>
      </c>
      <c r="M103" s="70">
        <f t="shared" si="11"/>
        <v>16501.341499999999</v>
      </c>
      <c r="N103" s="71">
        <f t="shared" si="12"/>
        <v>0</v>
      </c>
      <c r="O103" s="57">
        <f t="shared" si="13"/>
        <v>-21526.191400000022</v>
      </c>
      <c r="P103" s="57"/>
      <c r="Q103" s="72">
        <f t="shared" si="16"/>
        <v>309.70666666666671</v>
      </c>
      <c r="R103" s="72">
        <f t="shared" si="17"/>
        <v>329.74984933333332</v>
      </c>
    </row>
    <row r="104" spans="3:18" ht="16.2" customHeight="1" x14ac:dyDescent="0.3">
      <c r="C104" s="50">
        <f t="shared" si="18"/>
        <v>46021</v>
      </c>
      <c r="D104" s="66">
        <f t="shared" si="19"/>
        <v>14451.51515151515</v>
      </c>
      <c r="E104" s="66">
        <f t="shared" si="14"/>
        <v>15340.404040404039</v>
      </c>
      <c r="F104" s="66">
        <f t="shared" si="20"/>
        <v>888.88888888888869</v>
      </c>
      <c r="G104" s="67">
        <f t="shared" si="6"/>
        <v>8933.3333333333339</v>
      </c>
      <c r="H104" s="68">
        <f t="shared" si="7"/>
        <v>3733.3333333333335</v>
      </c>
      <c r="I104" s="68">
        <f t="shared" si="8"/>
        <v>3454.545454545455</v>
      </c>
      <c r="J104" s="69">
        <f t="shared" si="9"/>
        <v>258.08889999999997</v>
      </c>
      <c r="K104" s="70">
        <f t="shared" si="15"/>
        <v>16379.300999999999</v>
      </c>
      <c r="L104" s="70">
        <f t="shared" si="10"/>
        <v>327.58600000000001</v>
      </c>
      <c r="M104" s="70">
        <f t="shared" si="11"/>
        <v>16706.886999999999</v>
      </c>
      <c r="N104" s="71">
        <f t="shared" si="12"/>
        <v>0</v>
      </c>
      <c r="O104" s="57">
        <f t="shared" si="13"/>
        <v>-38233.07840000002</v>
      </c>
      <c r="P104" s="57"/>
      <c r="Q104" s="72">
        <f t="shared" si="16"/>
        <v>309.70666666666671</v>
      </c>
      <c r="R104" s="72">
        <f t="shared" si="17"/>
        <v>333.78015333333332</v>
      </c>
    </row>
    <row r="105" spans="3:18" ht="16.2" customHeight="1" x14ac:dyDescent="0.3">
      <c r="C105" s="50">
        <f t="shared" si="18"/>
        <v>46022</v>
      </c>
      <c r="D105" s="66">
        <f t="shared" si="19"/>
        <v>15340.404040404039</v>
      </c>
      <c r="E105" s="66">
        <f t="shared" si="14"/>
        <v>16273.737373737373</v>
      </c>
      <c r="F105" s="66">
        <f t="shared" si="20"/>
        <v>933.33333333333394</v>
      </c>
      <c r="G105" s="67">
        <f t="shared" si="6"/>
        <v>9380.0000000000018</v>
      </c>
      <c r="H105" s="68">
        <f t="shared" si="7"/>
        <v>3920</v>
      </c>
      <c r="I105" s="68">
        <f t="shared" si="8"/>
        <v>3627.2727272727275</v>
      </c>
      <c r="J105" s="69">
        <f t="shared" si="9"/>
        <v>258.08889999999997</v>
      </c>
      <c r="K105" s="70">
        <f t="shared" si="15"/>
        <v>17185.3616</v>
      </c>
      <c r="L105" s="70">
        <f t="shared" si="10"/>
        <v>343.7072</v>
      </c>
      <c r="M105" s="70">
        <f t="shared" si="11"/>
        <v>17529.068800000001</v>
      </c>
      <c r="N105" s="71">
        <f t="shared" si="12"/>
        <v>0</v>
      </c>
      <c r="O105" s="57">
        <f t="shared" si="13"/>
        <v>-55762.147200000021</v>
      </c>
      <c r="Q105" s="72">
        <f t="shared" si="16"/>
        <v>309.70666666666671</v>
      </c>
      <c r="R105" s="72">
        <f t="shared" si="17"/>
        <v>349.90136533333333</v>
      </c>
    </row>
    <row r="106" spans="3:18" ht="16.2" customHeight="1" x14ac:dyDescent="0.3">
      <c r="C106" s="50"/>
      <c r="D106" s="66"/>
      <c r="E106" s="66"/>
      <c r="F106" s="66"/>
      <c r="G106" s="73"/>
      <c r="H106" s="68"/>
      <c r="I106" s="68"/>
      <c r="J106" s="74"/>
      <c r="K106" s="70"/>
      <c r="L106" s="70"/>
      <c r="O106" s="75">
        <f>IF(C105&lt;$D$17,0,IF(C105=$D$17,N105-M105,O104-M105+N105+N106-Q106-R106))</f>
        <v>-56802.761828000024</v>
      </c>
      <c r="P106" s="57"/>
      <c r="Q106" s="76">
        <f>SUM(Q75:Q105)-SUM(J75:J105)</f>
        <v>929.11980000000585</v>
      </c>
      <c r="R106" s="76">
        <f>SUM(R75:R105)-SUM(L75:L105)</f>
        <v>111.49482799999805</v>
      </c>
    </row>
    <row r="107" spans="3:18" ht="16.2" customHeight="1" x14ac:dyDescent="0.3">
      <c r="C107" s="50"/>
    </row>
    <row r="108" spans="3:18" ht="16.2" customHeight="1" x14ac:dyDescent="0.3">
      <c r="C108" s="50"/>
    </row>
    <row r="109" spans="3:18" ht="16.2" customHeight="1" x14ac:dyDescent="0.3">
      <c r="C109" s="50"/>
    </row>
    <row r="110" spans="3:18" ht="16.2" customHeight="1" x14ac:dyDescent="0.3">
      <c r="C110" s="50"/>
    </row>
    <row r="111" spans="3:18" ht="16.2" customHeight="1" x14ac:dyDescent="0.3">
      <c r="C111" s="50"/>
    </row>
    <row r="112" spans="3:18" ht="16.2" customHeight="1" x14ac:dyDescent="0.3">
      <c r="C112" s="50"/>
    </row>
    <row r="113" spans="3:3" ht="16.2" customHeight="1" x14ac:dyDescent="0.3">
      <c r="C113" s="50"/>
    </row>
    <row r="114" spans="3:3" ht="16.2" customHeight="1" x14ac:dyDescent="0.3">
      <c r="C114" s="50"/>
    </row>
    <row r="115" spans="3:3" ht="16.2" customHeight="1" x14ac:dyDescent="0.3">
      <c r="C115" s="50"/>
    </row>
    <row r="116" spans="3:3" ht="16.2" customHeight="1" x14ac:dyDescent="0.3">
      <c r="C116" s="50"/>
    </row>
    <row r="117" spans="3:3" ht="16.2" customHeight="1" x14ac:dyDescent="0.3">
      <c r="C117" s="50"/>
    </row>
    <row r="118" spans="3:3" ht="16.2" customHeight="1" x14ac:dyDescent="0.3">
      <c r="C118" s="50"/>
    </row>
    <row r="119" spans="3:3" ht="16.2" customHeight="1" x14ac:dyDescent="0.3">
      <c r="C119" s="50"/>
    </row>
    <row r="120" spans="3:3" ht="16.2" customHeight="1" x14ac:dyDescent="0.3">
      <c r="C120" s="50"/>
    </row>
    <row r="121" spans="3:3" ht="16.2" customHeight="1" x14ac:dyDescent="0.3">
      <c r="C121" s="50"/>
    </row>
    <row r="122" spans="3:3" ht="16.2" customHeight="1" x14ac:dyDescent="0.3">
      <c r="C122" s="50"/>
    </row>
    <row r="133" spans="3:3" ht="16.2" customHeight="1" x14ac:dyDescent="0.3">
      <c r="C133" s="50"/>
    </row>
  </sheetData>
  <mergeCells count="1">
    <mergeCell ref="C2:J2"/>
  </mergeCells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3.6Industrial(HT)-Op2_TOD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Narayana</dc:creator>
  <cp:lastModifiedBy>Sumitbhai Vadaviya</cp:lastModifiedBy>
  <dcterms:created xsi:type="dcterms:W3CDTF">2026-01-16T03:57:21Z</dcterms:created>
  <dcterms:modified xsi:type="dcterms:W3CDTF">2026-01-28T09:34:59Z</dcterms:modified>
</cp:coreProperties>
</file>