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cuculusindia.sharepoint.com/sites/C003CCIDamodarValleyCorporation/Shared Documents/General/DVC_Tariiff_Calculation/"/>
    </mc:Choice>
  </mc:AlternateContent>
  <xr:revisionPtr revIDLastSave="8" documentId="8_{009CCDD0-E985-4CA8-B8F5-B3A3C3546FF2}" xr6:coauthVersionLast="47" xr6:coauthVersionMax="47" xr10:uidLastSave="{32AF1854-B559-49F3-8FC5-4B8203038E5D}"/>
  <bookViews>
    <workbookView xWindow="28680" yWindow="-120" windowWidth="29040" windowHeight="15720" xr2:uid="{D0898F0C-93A7-4719-B0FB-F5FD596946B3}"/>
  </bookViews>
  <sheets>
    <sheet name="WB_LT Comm_Sample" sheetId="26" r:id="rId1"/>
    <sheet name="Addl MD Cal-Sample" sheetId="27" r:id="rId2"/>
    <sheet name="ED Cal_Sample" sheetId="2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7" l="1"/>
  <c r="G44" i="26" l="1"/>
  <c r="J20" i="28"/>
  <c r="J21" i="28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22" i="27"/>
  <c r="B22" i="27" l="1"/>
  <c r="B23" i="27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F27" i="28"/>
  <c r="L11" i="28"/>
  <c r="L13" i="28" s="1"/>
  <c r="K11" i="28"/>
  <c r="K13" i="28" s="1"/>
  <c r="J11" i="28"/>
  <c r="L7" i="28"/>
  <c r="K7" i="28"/>
  <c r="J7" i="28"/>
  <c r="L6" i="28"/>
  <c r="K6" i="28"/>
  <c r="J6" i="28"/>
  <c r="I52" i="27"/>
  <c r="H51" i="27"/>
  <c r="I50" i="27"/>
  <c r="I49" i="27"/>
  <c r="H48" i="27"/>
  <c r="H47" i="27"/>
  <c r="I46" i="27"/>
  <c r="I45" i="27"/>
  <c r="I44" i="27"/>
  <c r="H43" i="27"/>
  <c r="I42" i="27"/>
  <c r="I41" i="27"/>
  <c r="I40" i="27"/>
  <c r="I38" i="27"/>
  <c r="I37" i="27"/>
  <c r="I36" i="27"/>
  <c r="H35" i="27"/>
  <c r="I34" i="27"/>
  <c r="I33" i="27"/>
  <c r="I32" i="27"/>
  <c r="H31" i="27"/>
  <c r="I30" i="27"/>
  <c r="I29" i="27"/>
  <c r="I28" i="27"/>
  <c r="I27" i="27"/>
  <c r="I26" i="27"/>
  <c r="I25" i="27"/>
  <c r="I24" i="27"/>
  <c r="I23" i="27"/>
  <c r="I22" i="27"/>
  <c r="G18" i="27"/>
  <c r="H17" i="27"/>
  <c r="G17" i="27"/>
  <c r="H16" i="27"/>
  <c r="G16" i="27"/>
  <c r="G8" i="27"/>
  <c r="G7" i="27"/>
  <c r="Q62" i="26"/>
  <c r="Q61" i="26"/>
  <c r="Q60" i="26"/>
  <c r="Q59" i="26"/>
  <c r="Q58" i="26"/>
  <c r="Q57" i="26"/>
  <c r="Q56" i="26"/>
  <c r="Q55" i="26"/>
  <c r="Q54" i="26"/>
  <c r="Q53" i="26"/>
  <c r="Q52" i="26"/>
  <c r="Q51" i="26"/>
  <c r="Q50" i="26"/>
  <c r="Q49" i="26"/>
  <c r="Q48" i="26"/>
  <c r="Q47" i="26"/>
  <c r="Q46" i="26"/>
  <c r="Q45" i="26"/>
  <c r="Q44" i="26"/>
  <c r="Q43" i="26"/>
  <c r="Q42" i="26"/>
  <c r="Q41" i="26"/>
  <c r="Q40" i="26"/>
  <c r="Q39" i="26"/>
  <c r="Q38" i="26"/>
  <c r="Q37" i="26"/>
  <c r="Q36" i="26"/>
  <c r="Q35" i="26"/>
  <c r="Q34" i="26"/>
  <c r="Q33" i="26"/>
  <c r="Q32" i="26"/>
  <c r="F32" i="26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E23" i="26"/>
  <c r="E22" i="26"/>
  <c r="E14" i="26"/>
  <c r="C59" i="26" s="1"/>
  <c r="L18" i="27" l="1"/>
  <c r="L36" i="26"/>
  <c r="M55" i="26"/>
  <c r="F33" i="26"/>
  <c r="F34" i="26" s="1"/>
  <c r="F35" i="26" s="1"/>
  <c r="F36" i="26" s="1"/>
  <c r="F37" i="26" s="1"/>
  <c r="F38" i="26" s="1"/>
  <c r="F39" i="26" s="1"/>
  <c r="F40" i="26" s="1"/>
  <c r="F41" i="26" s="1"/>
  <c r="F42" i="26" s="1"/>
  <c r="F43" i="26" s="1"/>
  <c r="F44" i="26" s="1"/>
  <c r="F45" i="26" s="1"/>
  <c r="F46" i="26" s="1"/>
  <c r="F47" i="26" s="1"/>
  <c r="F48" i="26" s="1"/>
  <c r="F49" i="26" s="1"/>
  <c r="F50" i="26" s="1"/>
  <c r="F51" i="26" s="1"/>
  <c r="F52" i="26" s="1"/>
  <c r="F53" i="26" s="1"/>
  <c r="F54" i="26" s="1"/>
  <c r="F55" i="26" s="1"/>
  <c r="F56" i="26" s="1"/>
  <c r="R54" i="26"/>
  <c r="C55" i="26"/>
  <c r="O55" i="26" s="1"/>
  <c r="N38" i="26"/>
  <c r="L60" i="26"/>
  <c r="L49" i="26"/>
  <c r="M56" i="26"/>
  <c r="M44" i="26"/>
  <c r="M43" i="26"/>
  <c r="N62" i="26"/>
  <c r="N50" i="26"/>
  <c r="L61" i="26"/>
  <c r="R34" i="26"/>
  <c r="L48" i="26"/>
  <c r="L37" i="26"/>
  <c r="Q27" i="26"/>
  <c r="L71" i="26"/>
  <c r="P59" i="26"/>
  <c r="O59" i="26"/>
  <c r="R62" i="26"/>
  <c r="L47" i="26"/>
  <c r="M54" i="26"/>
  <c r="N49" i="26"/>
  <c r="C41" i="26"/>
  <c r="C50" i="26"/>
  <c r="N60" i="26"/>
  <c r="L45" i="26"/>
  <c r="M40" i="26"/>
  <c r="N35" i="26"/>
  <c r="L56" i="26"/>
  <c r="M51" i="26"/>
  <c r="N46" i="26"/>
  <c r="R36" i="26"/>
  <c r="L43" i="26"/>
  <c r="M50" i="26"/>
  <c r="N33" i="26"/>
  <c r="L54" i="26"/>
  <c r="L42" i="26"/>
  <c r="M61" i="26"/>
  <c r="M49" i="26"/>
  <c r="N44" i="26"/>
  <c r="R50" i="26"/>
  <c r="C56" i="26"/>
  <c r="R57" i="26"/>
  <c r="R59" i="26"/>
  <c r="R61" i="26"/>
  <c r="L53" i="26"/>
  <c r="L41" i="26"/>
  <c r="M60" i="26"/>
  <c r="M48" i="26"/>
  <c r="M36" i="26"/>
  <c r="N55" i="26"/>
  <c r="N43" i="26"/>
  <c r="C37" i="26"/>
  <c r="C40" i="26"/>
  <c r="M37" i="26"/>
  <c r="E15" i="26"/>
  <c r="E17" i="26" s="1"/>
  <c r="J18" i="28" s="1"/>
  <c r="C51" i="26"/>
  <c r="C58" i="26"/>
  <c r="C60" i="26"/>
  <c r="C62" i="26"/>
  <c r="L52" i="26"/>
  <c r="L40" i="26"/>
  <c r="M59" i="26"/>
  <c r="M47" i="26"/>
  <c r="M35" i="26"/>
  <c r="N54" i="26"/>
  <c r="N42" i="26"/>
  <c r="R37" i="26"/>
  <c r="R43" i="26"/>
  <c r="R46" i="26"/>
  <c r="R49" i="26"/>
  <c r="R56" i="26"/>
  <c r="R60" i="26"/>
  <c r="L59" i="26"/>
  <c r="L35" i="26"/>
  <c r="M42" i="26"/>
  <c r="N37" i="26"/>
  <c r="C35" i="26"/>
  <c r="C47" i="26"/>
  <c r="R51" i="26"/>
  <c r="C57" i="26"/>
  <c r="N48" i="26"/>
  <c r="L57" i="26"/>
  <c r="M52" i="26"/>
  <c r="N47" i="26"/>
  <c r="L44" i="26"/>
  <c r="M39" i="26"/>
  <c r="N34" i="26"/>
  <c r="R42" i="26"/>
  <c r="R45" i="26"/>
  <c r="R48" i="26"/>
  <c r="C54" i="26"/>
  <c r="L55" i="26"/>
  <c r="M62" i="26"/>
  <c r="M38" i="26"/>
  <c r="N45" i="26"/>
  <c r="C43" i="26"/>
  <c r="C49" i="26"/>
  <c r="R55" i="26"/>
  <c r="N56" i="26"/>
  <c r="R32" i="26"/>
  <c r="R35" i="26"/>
  <c r="R38" i="26"/>
  <c r="R41" i="26"/>
  <c r="R44" i="26"/>
  <c r="R47" i="26"/>
  <c r="R52" i="26"/>
  <c r="L32" i="26"/>
  <c r="L51" i="26"/>
  <c r="L39" i="26"/>
  <c r="M58" i="26"/>
  <c r="M46" i="26"/>
  <c r="M34" i="26"/>
  <c r="N53" i="26"/>
  <c r="N41" i="26"/>
  <c r="R40" i="26"/>
  <c r="R58" i="26"/>
  <c r="N61" i="26"/>
  <c r="C32" i="26"/>
  <c r="C38" i="26"/>
  <c r="C44" i="26"/>
  <c r="C61" i="26"/>
  <c r="L58" i="26"/>
  <c r="L46" i="26"/>
  <c r="L34" i="26"/>
  <c r="M53" i="26"/>
  <c r="M41" i="26"/>
  <c r="N36" i="26"/>
  <c r="C52" i="26"/>
  <c r="L33" i="26"/>
  <c r="N59" i="26"/>
  <c r="R53" i="26"/>
  <c r="M32" i="26"/>
  <c r="N58" i="26"/>
  <c r="R33" i="26"/>
  <c r="R39" i="26"/>
  <c r="N57" i="26"/>
  <c r="C34" i="26"/>
  <c r="C46" i="26"/>
  <c r="C33" i="26"/>
  <c r="C36" i="26"/>
  <c r="C39" i="26"/>
  <c r="C42" i="26"/>
  <c r="C45" i="26"/>
  <c r="C48" i="26"/>
  <c r="C53" i="26"/>
  <c r="L62" i="26"/>
  <c r="L50" i="26"/>
  <c r="L38" i="26"/>
  <c r="M57" i="26"/>
  <c r="M45" i="26"/>
  <c r="M33" i="26"/>
  <c r="N52" i="26"/>
  <c r="N40" i="26"/>
  <c r="N32" i="26"/>
  <c r="N51" i="26"/>
  <c r="N39" i="26"/>
  <c r="H28" i="27"/>
  <c r="I31" i="27"/>
  <c r="N22" i="27" s="1" a="1"/>
  <c r="N22" i="27" s="1"/>
  <c r="M22" i="27" s="1"/>
  <c r="I39" i="27"/>
  <c r="I43" i="27"/>
  <c r="I47" i="27"/>
  <c r="I51" i="27"/>
  <c r="H23" i="27"/>
  <c r="H40" i="27"/>
  <c r="H29" i="27"/>
  <c r="H25" i="27"/>
  <c r="H52" i="27"/>
  <c r="I48" i="27"/>
  <c r="H26" i="27"/>
  <c r="H33" i="27"/>
  <c r="H37" i="27"/>
  <c r="H41" i="27"/>
  <c r="H45" i="27"/>
  <c r="H49" i="27"/>
  <c r="I35" i="27"/>
  <c r="H32" i="27"/>
  <c r="H36" i="27"/>
  <c r="H44" i="27"/>
  <c r="H22" i="27"/>
  <c r="H24" i="27"/>
  <c r="H27" i="27"/>
  <c r="H30" i="27"/>
  <c r="H34" i="27"/>
  <c r="H38" i="27"/>
  <c r="H42" i="27"/>
  <c r="H46" i="27"/>
  <c r="H50" i="27"/>
  <c r="K50" i="26"/>
  <c r="J13" i="28"/>
  <c r="N11" i="28"/>
  <c r="J50" i="26"/>
  <c r="F57" i="26"/>
  <c r="N24" i="27" l="1" a="1"/>
  <c r="N24" i="27" s="1"/>
  <c r="N23" i="27" a="1"/>
  <c r="N23" i="27" s="1"/>
  <c r="M23" i="27" s="1"/>
  <c r="P55" i="26"/>
  <c r="R27" i="26"/>
  <c r="L72" i="26"/>
  <c r="P53" i="26"/>
  <c r="O53" i="26"/>
  <c r="O61" i="26"/>
  <c r="P61" i="26"/>
  <c r="O49" i="26"/>
  <c r="P49" i="26"/>
  <c r="P48" i="26"/>
  <c r="O48" i="26"/>
  <c r="O44" i="26"/>
  <c r="P44" i="26"/>
  <c r="P38" i="26"/>
  <c r="O38" i="26"/>
  <c r="O62" i="26"/>
  <c r="P62" i="26"/>
  <c r="P50" i="26"/>
  <c r="O50" i="26"/>
  <c r="P32" i="26"/>
  <c r="O32" i="26"/>
  <c r="O60" i="26"/>
  <c r="P60" i="26"/>
  <c r="P41" i="26"/>
  <c r="O41" i="26"/>
  <c r="P39" i="26"/>
  <c r="O39" i="26"/>
  <c r="O58" i="26"/>
  <c r="P58" i="26"/>
  <c r="O46" i="26"/>
  <c r="P46" i="26"/>
  <c r="P47" i="26"/>
  <c r="O47" i="26"/>
  <c r="O34" i="26"/>
  <c r="P34" i="26"/>
  <c r="O35" i="26"/>
  <c r="P35" i="26"/>
  <c r="O40" i="26"/>
  <c r="P40" i="26"/>
  <c r="O56" i="26"/>
  <c r="P56" i="26"/>
  <c r="O37" i="26"/>
  <c r="P37" i="26"/>
  <c r="O43" i="26"/>
  <c r="P43" i="26"/>
  <c r="P45" i="26"/>
  <c r="O45" i="26"/>
  <c r="O36" i="26"/>
  <c r="P36" i="26"/>
  <c r="P52" i="26"/>
  <c r="O52" i="26"/>
  <c r="P57" i="26"/>
  <c r="O57" i="26"/>
  <c r="P51" i="26"/>
  <c r="O51" i="26"/>
  <c r="P42" i="26"/>
  <c r="O42" i="26"/>
  <c r="P33" i="26"/>
  <c r="O33" i="26"/>
  <c r="P54" i="26"/>
  <c r="O54" i="26"/>
  <c r="K51" i="26"/>
  <c r="K52" i="26"/>
  <c r="K44" i="26"/>
  <c r="K61" i="26"/>
  <c r="K59" i="26"/>
  <c r="K57" i="26"/>
  <c r="K55" i="26"/>
  <c r="K62" i="26"/>
  <c r="K60" i="26"/>
  <c r="K58" i="26"/>
  <c r="K56" i="26"/>
  <c r="K49" i="26"/>
  <c r="K46" i="26"/>
  <c r="K43" i="26"/>
  <c r="K40" i="26"/>
  <c r="K37" i="26"/>
  <c r="K34" i="26"/>
  <c r="K41" i="26"/>
  <c r="K38" i="26"/>
  <c r="K35" i="26"/>
  <c r="K32" i="26"/>
  <c r="S32" i="26" s="1"/>
  <c r="K45" i="26"/>
  <c r="K42" i="26"/>
  <c r="K36" i="26"/>
  <c r="K54" i="26"/>
  <c r="K47" i="26"/>
  <c r="K48" i="26"/>
  <c r="K39" i="26"/>
  <c r="K33" i="26"/>
  <c r="K53" i="26"/>
  <c r="H39" i="27"/>
  <c r="G10" i="27"/>
  <c r="G11" i="27" s="1"/>
  <c r="M28" i="27" s="1"/>
  <c r="J27" i="28"/>
  <c r="N13" i="28"/>
  <c r="J17" i="28" s="1"/>
  <c r="F58" i="26"/>
  <c r="J51" i="26"/>
  <c r="L24" i="27" l="1"/>
  <c r="M24" i="27" s="1"/>
  <c r="M27" i="27" s="1"/>
  <c r="M29" i="27" s="1"/>
  <c r="J19" i="28" s="1"/>
  <c r="S33" i="26"/>
  <c r="S34" i="26" s="1"/>
  <c r="S35" i="26" s="1"/>
  <c r="S36" i="26" s="1"/>
  <c r="S37" i="26" s="1"/>
  <c r="S38" i="26" s="1"/>
  <c r="S39" i="26" s="1"/>
  <c r="S40" i="26" s="1"/>
  <c r="S41" i="26" s="1"/>
  <c r="S42" i="26" s="1"/>
  <c r="S43" i="26" s="1"/>
  <c r="S44" i="26" s="1"/>
  <c r="S45" i="26" s="1"/>
  <c r="S46" i="26" s="1"/>
  <c r="S47" i="26" s="1"/>
  <c r="S48" i="26" s="1"/>
  <c r="S49" i="26" s="1"/>
  <c r="S50" i="26" s="1"/>
  <c r="K27" i="26"/>
  <c r="L67" i="26"/>
  <c r="O27" i="26"/>
  <c r="L65" i="26"/>
  <c r="M65" i="26" s="1"/>
  <c r="L68" i="26"/>
  <c r="P27" i="26"/>
  <c r="J28" i="28"/>
  <c r="J29" i="28" s="1"/>
  <c r="F59" i="26"/>
  <c r="J52" i="26"/>
  <c r="J23" i="28" l="1"/>
  <c r="K28" i="28" s="1"/>
  <c r="J30" i="28"/>
  <c r="J31" i="28" s="1"/>
  <c r="M70" i="26"/>
  <c r="F60" i="26"/>
  <c r="S51" i="26"/>
  <c r="J53" i="26"/>
  <c r="K27" i="28" l="1"/>
  <c r="K29" i="28"/>
  <c r="K30" i="28"/>
  <c r="J54" i="26"/>
  <c r="S52" i="26"/>
  <c r="F61" i="26"/>
  <c r="K31" i="28" l="1"/>
  <c r="M69" i="26" s="1"/>
  <c r="M73" i="26" s="1"/>
  <c r="J55" i="26"/>
  <c r="S53" i="26"/>
  <c r="F62" i="26"/>
  <c r="J56" i="26" l="1"/>
  <c r="S54" i="26"/>
  <c r="S55" i="26" l="1"/>
  <c r="J57" i="26"/>
  <c r="J58" i="26" l="1"/>
  <c r="S56" i="26"/>
  <c r="J59" i="26" l="1"/>
  <c r="S57" i="26"/>
  <c r="S58" i="26" l="1"/>
  <c r="J60" i="26"/>
  <c r="J61" i="26" l="1"/>
  <c r="S59" i="26"/>
  <c r="S60" i="26" l="1"/>
  <c r="J62" i="26"/>
  <c r="S61" i="26" l="1"/>
  <c r="S62" i="26" l="1"/>
  <c r="T62" i="26" s="1"/>
  <c r="N27" i="26"/>
  <c r="L66" i="26"/>
  <c r="L73" i="26" s="1"/>
  <c r="N73" i="26" s="1"/>
  <c r="L27" i="26"/>
  <c r="M27" i="2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<sst xmlns="http://schemas.openxmlformats.org/spreadsheetml/2006/main" count="145" uniqueCount="105">
  <si>
    <t>Heads</t>
  </si>
  <si>
    <t>Details</t>
  </si>
  <si>
    <t>Santioned</t>
  </si>
  <si>
    <t>KVA</t>
  </si>
  <si>
    <t>Fixed charges</t>
  </si>
  <si>
    <t>Energy charges (TOU)</t>
  </si>
  <si>
    <t>Rs/ kWh on unit consumption</t>
  </si>
  <si>
    <t>17:00 Hrs to 23:00 Hrs</t>
  </si>
  <si>
    <t>23:00 Hrs to 06:00 Hrs</t>
  </si>
  <si>
    <t>Differential ECR ( Energy Charge Rate)</t>
  </si>
  <si>
    <t>DVC would provide by end of every month and this would be forward calculation</t>
  </si>
  <si>
    <t>MVCA ( Monthly Variable Cost Adjustment)</t>
  </si>
  <si>
    <t>Rebate</t>
  </si>
  <si>
    <t>Rs on E-Bill for a month</t>
  </si>
  <si>
    <t>Energy Duty (ED)</t>
  </si>
  <si>
    <t>No. of Days</t>
  </si>
  <si>
    <t>Slab Number</t>
  </si>
  <si>
    <t>Unit From</t>
  </si>
  <si>
    <t>Unit To</t>
  </si>
  <si>
    <t>%age</t>
  </si>
  <si>
    <t>Variables</t>
  </si>
  <si>
    <t>Max</t>
  </si>
  <si>
    <t>Contract Demand</t>
  </si>
  <si>
    <t>Assumption : Rounded-up to 4 decimal points for calculation purpose</t>
  </si>
  <si>
    <t>Fixed Charges in Rs</t>
  </si>
  <si>
    <t>Energy Charge  in Rs</t>
  </si>
  <si>
    <t>Differential ECR in Rs</t>
  </si>
  <si>
    <t>MVCA in Rs</t>
  </si>
  <si>
    <t>Rebate ( Voucher) in Rs</t>
  </si>
  <si>
    <t>Ebill Opted in Rs</t>
  </si>
  <si>
    <t>Opening Balance</t>
  </si>
  <si>
    <t>Instantenous</t>
  </si>
  <si>
    <t>=Fixed Charge/ No. of Calender Days</t>
  </si>
  <si>
    <t>=kwh x Energy Charge</t>
  </si>
  <si>
    <t>Pre Paid Voucher Online get 1%  benefit</t>
  </si>
  <si>
    <t>=Rs 5 /No of Calender Days</t>
  </si>
  <si>
    <t>Date</t>
  </si>
  <si>
    <t xml:space="preserve"> (kWh)</t>
  </si>
  <si>
    <t>Voucher</t>
  </si>
  <si>
    <t>Fixed Charges</t>
  </si>
  <si>
    <t>Energy Charges</t>
  </si>
  <si>
    <t>Diff ECR</t>
  </si>
  <si>
    <t>MVCA</t>
  </si>
  <si>
    <t>ED</t>
  </si>
  <si>
    <t>Voucher Recharge</t>
  </si>
  <si>
    <t>Ebill</t>
  </si>
  <si>
    <t>Gross Bill</t>
  </si>
  <si>
    <t xml:space="preserve">Rs/ kVA on unit consumption </t>
  </si>
  <si>
    <t>(kVA)</t>
  </si>
  <si>
    <t>Month</t>
  </si>
  <si>
    <t>TOU1</t>
  </si>
  <si>
    <t>TOU2</t>
  </si>
  <si>
    <t>TOU3</t>
  </si>
  <si>
    <t xml:space="preserve">Sample Calculation </t>
  </si>
  <si>
    <t>Value</t>
  </si>
  <si>
    <t>=kwh (two month back) x Diff ECR Charge</t>
  </si>
  <si>
    <t>=kwh (Two month Back) x MVCA Charge</t>
  </si>
  <si>
    <t>Normal Time</t>
  </si>
  <si>
    <t>Peak Time</t>
  </si>
  <si>
    <t>Off-Peak Time</t>
  </si>
  <si>
    <t>TOU1
Normal Time</t>
  </si>
  <si>
    <t>TOU2
Peak Time</t>
  </si>
  <si>
    <t>TOU3
Off-Peak Time</t>
  </si>
  <si>
    <t>TOU1
Normal Time (Addl MD)</t>
  </si>
  <si>
    <t>TOU2
Peak Time
(Addl MD)</t>
  </si>
  <si>
    <t>TOU3
Off-Peak Time (Addl MD)</t>
  </si>
  <si>
    <t>Addl Demand Charges</t>
  </si>
  <si>
    <t>Rs /Per KVA</t>
  </si>
  <si>
    <t>No. of Hours</t>
  </si>
  <si>
    <t>ΣHi (Total restriction/load-shedding hours):</t>
  </si>
  <si>
    <t>Slab
TOU</t>
  </si>
  <si>
    <t>Addl MD Calculation
(kVA)</t>
  </si>
  <si>
    <t>Multiplying Factor</t>
  </si>
  <si>
    <t>Off Peak</t>
  </si>
  <si>
    <t>Case if (Off Peak Time)</t>
  </si>
  <si>
    <t>Case 3a</t>
  </si>
  <si>
    <t>Case 3b</t>
  </si>
  <si>
    <t>Computed Demand Charge</t>
  </si>
  <si>
    <t xml:space="preserve">06:00 Hrs to 17:00 Hrs </t>
  </si>
  <si>
    <t>&gt;150%</t>
  </si>
  <si>
    <t>HIGHEST OF CASE 1, CASE 2 &amp; CASE 3</t>
  </si>
  <si>
    <t>Net additional demand Charge</t>
  </si>
  <si>
    <t>Case 3c</t>
  </si>
  <si>
    <t>Test Result and Daily to match the overal Higest Value</t>
  </si>
  <si>
    <t>Addl MD</t>
  </si>
  <si>
    <t>85% of Contract Demand</t>
  </si>
  <si>
    <t>Gross Amount</t>
  </si>
  <si>
    <t>Intial Reading</t>
  </si>
  <si>
    <t>Final Reading</t>
  </si>
  <si>
    <t>Month start date</t>
  </si>
  <si>
    <t>Month End date</t>
  </si>
  <si>
    <t>Month:</t>
  </si>
  <si>
    <t>Energy Consumption</t>
  </si>
  <si>
    <t xml:space="preserve"> 2 Months Prior Daily profile</t>
  </si>
  <si>
    <t>No, of hours</t>
  </si>
  <si>
    <t>Load Shedding Hours</t>
  </si>
  <si>
    <t>Remaining Hours</t>
  </si>
  <si>
    <t>Maximum MD</t>
  </si>
  <si>
    <t>Demand Charges</t>
  </si>
  <si>
    <t>ED Calculation</t>
  </si>
  <si>
    <t>Units</t>
  </si>
  <si>
    <t>Instantenous in KVA</t>
  </si>
  <si>
    <t>Daily Cal</t>
  </si>
  <si>
    <t>End of Month reconcille</t>
  </si>
  <si>
    <t>This must be reconcilled on Fixed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</si>
</sst>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₹&quot;\ #,##0.00;&quot;₹&quot;\ \-#,##0.00"/>
    <numFmt numFmtId="43" formatCode="_ * #,##0.00_ ;_ * \-#,##0.00_ ;_ * &quot;-&quot;??_ ;_ @_ "/>
    <numFmt numFmtId="164" formatCode="0.000"/>
    <numFmt numFmtId="165" formatCode="0.0000"/>
    <numFmt numFmtId="166" formatCode="0.0"/>
    <numFmt numFmtId="167" formatCode="[$₹-4009]\ #,##0.00;[$₹-4009]\ \-#,##0.00"/>
    <numFmt numFmtId="168" formatCode="0.0%"/>
    <numFmt numFmtId="169" formatCode="_ * #,##0.000_ ;_ * \-#,##0.000_ ;_ * &quot;-&quot;??_ ;_ @_ "/>
    <numFmt numFmtId="170" formatCode="_ * #,##0_ ;_ * \-#,##0_ ;_ * &quot;-&quot;??_ ;_ @_ "/>
    <numFmt numFmtId="171" formatCode="_ * #,##0.0000_ ;_ * \-#,##0.0000_ ;_ * &quot;-&quot;??_ ;_ @_ "/>
    <numFmt numFmtId="172" formatCode="mmm\'yy"/>
    <numFmt numFmtId="173" formatCode="[$₹-4009]\ #,##0;[$₹-4009]\ \-#,##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0" fillId="0" borderId="0" xfId="0" applyNumberFormat="1"/>
    <xf numFmtId="0" fontId="1" fillId="4" borderId="0" xfId="0" applyFont="1" applyFill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top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top"/>
    </xf>
    <xf numFmtId="166" fontId="0" fillId="0" borderId="0" xfId="0" applyNumberFormat="1" applyAlignment="1">
      <alignment vertical="top"/>
    </xf>
    <xf numFmtId="167" fontId="0" fillId="0" borderId="0" xfId="0" applyNumberFormat="1"/>
    <xf numFmtId="2" fontId="0" fillId="0" borderId="0" xfId="0" applyNumberFormat="1" applyAlignment="1">
      <alignment horizontal="center"/>
    </xf>
    <xf numFmtId="1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1" fillId="4" borderId="0" xfId="0" applyFont="1" applyFill="1" applyAlignment="1">
      <alignment horizontal="center"/>
    </xf>
    <xf numFmtId="43" fontId="0" fillId="0" borderId="0" xfId="1" applyFont="1"/>
    <xf numFmtId="43" fontId="1" fillId="0" borderId="0" xfId="1" applyFont="1"/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2" xfId="0" applyBorder="1"/>
    <xf numFmtId="0" fontId="5" fillId="5" borderId="0" xfId="0" applyFont="1" applyFill="1"/>
    <xf numFmtId="0" fontId="0" fillId="0" borderId="3" xfId="0" applyBorder="1" applyAlignment="1">
      <alignment horizontal="center"/>
    </xf>
    <xf numFmtId="9" fontId="0" fillId="0" borderId="3" xfId="2" applyFont="1" applyBorder="1" applyAlignment="1">
      <alignment horizontal="center"/>
    </xf>
    <xf numFmtId="168" fontId="0" fillId="0" borderId="3" xfId="2" applyNumberFormat="1" applyFont="1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9" fontId="0" fillId="0" borderId="0" xfId="0" applyNumberFormat="1"/>
    <xf numFmtId="0" fontId="0" fillId="6" borderId="0" xfId="0" applyFill="1"/>
    <xf numFmtId="164" fontId="0" fillId="3" borderId="1" xfId="0" applyNumberFormat="1" applyFill="1" applyBorder="1" applyAlignment="1">
      <alignment horizontal="center"/>
    </xf>
    <xf numFmtId="43" fontId="0" fillId="0" borderId="2" xfId="1" applyFont="1" applyBorder="1"/>
    <xf numFmtId="43" fontId="0" fillId="0" borderId="0" xfId="1" applyFont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 applyAlignment="1">
      <alignment vertical="top"/>
    </xf>
    <xf numFmtId="165" fontId="0" fillId="6" borderId="0" xfId="0" applyNumberFormat="1" applyFill="1" applyAlignment="1">
      <alignment vertical="top"/>
    </xf>
    <xf numFmtId="0" fontId="5" fillId="5" borderId="0" xfId="0" applyFont="1" applyFill="1" applyAlignment="1">
      <alignment vertical="top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2" xfId="0" quotePrefix="1" applyFont="1" applyFill="1" applyBorder="1" applyAlignment="1">
      <alignment horizontal="center" vertical="center" wrapText="1"/>
    </xf>
    <xf numFmtId="17" fontId="2" fillId="6" borderId="0" xfId="2" applyNumberFormat="1" applyFont="1" applyFill="1" applyAlignment="1">
      <alignment horizontal="right" vertical="top"/>
    </xf>
    <xf numFmtId="0" fontId="0" fillId="6" borderId="0" xfId="0" applyFill="1" applyAlignment="1">
      <alignment horizontal="right" vertical="top"/>
    </xf>
    <xf numFmtId="43" fontId="0" fillId="0" borderId="0" xfId="1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3" fontId="1" fillId="0" borderId="0" xfId="1" applyFont="1" applyAlignment="1">
      <alignment horizontal="center" wrapText="1"/>
    </xf>
    <xf numFmtId="169" fontId="0" fillId="0" borderId="0" xfId="1" applyNumberFormat="1" applyFont="1"/>
    <xf numFmtId="43" fontId="0" fillId="0" borderId="0" xfId="0" applyNumberFormat="1"/>
    <xf numFmtId="43" fontId="0" fillId="0" borderId="0" xfId="1" quotePrefix="1" applyFont="1" applyAlignment="1">
      <alignment horizontal="center"/>
    </xf>
    <xf numFmtId="0" fontId="0" fillId="0" borderId="0" xfId="0" applyAlignment="1">
      <alignment horizontal="right" vertical="top"/>
    </xf>
    <xf numFmtId="170" fontId="0" fillId="0" borderId="0" xfId="1" applyNumberFormat="1" applyFont="1"/>
    <xf numFmtId="43" fontId="1" fillId="0" borderId="0" xfId="0" applyNumberFormat="1" applyFont="1"/>
    <xf numFmtId="43" fontId="0" fillId="0" borderId="0" xfId="1" applyFont="1" applyAlignment="1">
      <alignment horizontal="right"/>
    </xf>
    <xf numFmtId="164" fontId="0" fillId="0" borderId="0" xfId="0" applyNumberFormat="1"/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2" xfId="0" applyNumberFormat="1" applyBorder="1"/>
    <xf numFmtId="43" fontId="0" fillId="0" borderId="1" xfId="1" applyFont="1" applyBorder="1" applyAlignment="1">
      <alignment horizontal="right"/>
    </xf>
    <xf numFmtId="164" fontId="0" fillId="0" borderId="1" xfId="0" applyNumberFormat="1" applyBorder="1" applyAlignment="1">
      <alignment horizontal="center"/>
    </xf>
    <xf numFmtId="43" fontId="1" fillId="0" borderId="0" xfId="1" applyFont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center"/>
    </xf>
    <xf numFmtId="172" fontId="1" fillId="6" borderId="0" xfId="0" applyNumberFormat="1" applyFont="1" applyFill="1" applyAlignment="1">
      <alignment horizontal="center"/>
    </xf>
    <xf numFmtId="21" fontId="0" fillId="0" borderId="0" xfId="0" applyNumberFormat="1" applyAlignment="1">
      <alignment horizontal="right" vertical="center" wrapText="1"/>
    </xf>
    <xf numFmtId="21" fontId="0" fillId="0" borderId="0" xfId="0" applyNumberFormat="1"/>
    <xf numFmtId="0" fontId="1" fillId="0" borderId="0" xfId="0" applyFont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0" fillId="0" borderId="2" xfId="0" applyBorder="1" applyAlignment="1">
      <alignment horizontal="right"/>
    </xf>
    <xf numFmtId="43" fontId="0" fillId="6" borderId="0" xfId="1" applyFont="1" applyFill="1" applyAlignment="1">
      <alignment horizontal="right" vertical="top"/>
    </xf>
    <xf numFmtId="169" fontId="4" fillId="0" borderId="0" xfId="1" applyNumberFormat="1" applyFont="1"/>
    <xf numFmtId="169" fontId="1" fillId="4" borderId="2" xfId="1" applyNumberFormat="1" applyFont="1" applyFill="1" applyBorder="1" applyAlignment="1">
      <alignment horizontal="center" vertical="center" wrapText="1"/>
    </xf>
    <xf numFmtId="169" fontId="1" fillId="4" borderId="2" xfId="1" quotePrefix="1" applyNumberFormat="1" applyFont="1" applyFill="1" applyBorder="1" applyAlignment="1">
      <alignment horizontal="center" vertical="center" wrapText="1"/>
    </xf>
    <xf numFmtId="169" fontId="1" fillId="4" borderId="0" xfId="1" applyNumberFormat="1" applyFont="1" applyFill="1" applyAlignment="1">
      <alignment horizontal="center" vertical="center" wrapText="1"/>
    </xf>
    <xf numFmtId="169" fontId="0" fillId="0" borderId="2" xfId="1" applyNumberFormat="1" applyFont="1" applyBorder="1"/>
    <xf numFmtId="169" fontId="1" fillId="0" borderId="0" xfId="0" applyNumberFormat="1" applyFont="1"/>
    <xf numFmtId="0" fontId="0" fillId="0" borderId="0" xfId="0" applyAlignment="1">
      <alignment wrapText="1"/>
    </xf>
    <xf numFmtId="7" fontId="0" fillId="0" borderId="1" xfId="1" applyNumberFormat="1" applyFont="1" applyBorder="1" applyAlignment="1">
      <alignment horizontal="right"/>
    </xf>
    <xf numFmtId="167" fontId="1" fillId="0" borderId="0" xfId="0" applyNumberFormat="1" applyFont="1"/>
    <xf numFmtId="43" fontId="0" fillId="0" borderId="2" xfId="1" applyFont="1" applyBorder="1" applyAlignment="1">
      <alignment horizontal="right"/>
    </xf>
    <xf numFmtId="43" fontId="0" fillId="0" borderId="2" xfId="1" applyFont="1" applyBorder="1" applyAlignment="1">
      <alignment horizontal="center"/>
    </xf>
    <xf numFmtId="167" fontId="1" fillId="0" borderId="0" xfId="1" applyNumberFormat="1" applyFont="1" applyAlignment="1">
      <alignment horizontal="right"/>
    </xf>
    <xf numFmtId="173" fontId="0" fillId="0" borderId="0" xfId="0" applyNumberFormat="1"/>
    <xf numFmtId="173" fontId="1" fillId="0" borderId="0" xfId="1" applyNumberFormat="1" applyFont="1"/>
    <xf numFmtId="173" fontId="1" fillId="0" borderId="0" xfId="0" applyNumberFormat="1" applyFont="1"/>
    <xf numFmtId="170" fontId="0" fillId="0" borderId="2" xfId="1" applyNumberFormat="1" applyFont="1" applyBorder="1"/>
    <xf numFmtId="170" fontId="1" fillId="0" borderId="0" xfId="1" applyNumberFormat="1" applyFont="1"/>
    <xf numFmtId="173" fontId="0" fillId="0" borderId="2" xfId="0" applyNumberFormat="1" applyBorder="1"/>
    <xf numFmtId="164" fontId="0" fillId="7" borderId="1" xfId="0" applyNumberFormat="1" applyFill="1" applyBorder="1" applyAlignment="1">
      <alignment horizontal="center"/>
    </xf>
    <xf numFmtId="0" fontId="0" fillId="7" borderId="0" xfId="0" applyFill="1" applyAlignment="1">
      <alignment vertical="top"/>
    </xf>
    <xf numFmtId="0" fontId="6" fillId="0" borderId="0" xfId="0" applyFont="1"/>
    <xf numFmtId="0" fontId="7" fillId="4" borderId="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43" fontId="6" fillId="0" borderId="0" xfId="1" applyFont="1"/>
    <xf numFmtId="167" fontId="6" fillId="0" borderId="0" xfId="0" applyNumberFormat="1" applyFont="1"/>
    <xf numFmtId="0" fontId="0" fillId="8" borderId="0" xfId="0" applyFill="1" applyAlignment="1">
      <alignment horizontal="right" vertical="top"/>
    </xf>
    <xf numFmtId="171" fontId="0" fillId="8" borderId="0" xfId="1" applyNumberFormat="1" applyFont="1" applyFill="1" applyAlignment="1">
      <alignment horizontal="right" vertical="top"/>
    </xf>
    <xf numFmtId="165" fontId="0" fillId="8" borderId="0" xfId="0" applyNumberFormat="1" applyFill="1" applyAlignment="1">
      <alignment horizontal="right" vertical="top"/>
    </xf>
  </cellXfs>
  <cellStyles count="4">
    <cellStyle name="Comma" xfId="1" builtinId="3"/>
    <cellStyle name="Comma 2" xfId="3" xr:uid="{9F86C863-CB92-4C3D-BAE9-9C7AF680AA5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1937-B77B-4CD6-B233-A6F6B5A80F37}">
  <sheetPr>
    <tabColor rgb="FF0070C0"/>
  </sheetPr>
  <dimension ref="A2:T73"/>
  <sheetViews>
    <sheetView showGridLines="0" tabSelected="1" topLeftCell="A41" workbookViewId="0">
      <selection activeCell="L65" sqref="L65"/>
    </sheetView>
  </sheetViews>
  <sheetFormatPr defaultRowHeight="14.4" x14ac:dyDescent="0.3"/>
  <cols>
    <col min="1" max="1" width="5.109375" customWidth="1"/>
    <col min="2" max="2" width="12.33203125" customWidth="1"/>
    <col min="3" max="3" width="16" customWidth="1"/>
    <col min="4" max="4" width="22.5546875" customWidth="1"/>
    <col min="5" max="5" width="11.5546875" customWidth="1"/>
    <col min="6" max="7" width="14.33203125" customWidth="1"/>
    <col min="8" max="8" width="13.33203125" customWidth="1"/>
    <col min="9" max="9" width="5.6640625" customWidth="1"/>
    <col min="10" max="10" width="19.109375" customWidth="1"/>
    <col min="11" max="11" width="17" style="50" customWidth="1"/>
    <col min="12" max="12" width="14.5546875" customWidth="1"/>
    <col min="13" max="13" width="13.5546875" customWidth="1"/>
    <col min="14" max="14" width="14.6640625" customWidth="1"/>
    <col min="15" max="15" width="20.109375" customWidth="1"/>
    <col min="16" max="16" width="14.109375" customWidth="1"/>
    <col min="17" max="17" width="11.88671875" customWidth="1"/>
    <col min="18" max="18" width="13.5546875" customWidth="1"/>
    <col min="19" max="19" width="10.6640625" bestFit="1" customWidth="1"/>
    <col min="20" max="20" width="12.109375" customWidth="1"/>
    <col min="22" max="23" width="17.88671875" customWidth="1"/>
    <col min="24" max="24" width="14.33203125" customWidth="1"/>
    <col min="25" max="25" width="18.88671875" bestFit="1" customWidth="1"/>
    <col min="26" max="26" width="17.6640625" bestFit="1" customWidth="1"/>
  </cols>
  <sheetData>
    <row r="2" spans="2:19" x14ac:dyDescent="0.3">
      <c r="D2" s="38" t="s">
        <v>53</v>
      </c>
      <c r="E2" s="24"/>
    </row>
    <row r="3" spans="2:19" x14ac:dyDescent="0.3">
      <c r="D3" s="38" t="s">
        <v>0</v>
      </c>
      <c r="E3" s="38" t="s">
        <v>54</v>
      </c>
      <c r="F3" s="38" t="s">
        <v>1</v>
      </c>
      <c r="G3" s="38"/>
      <c r="H3" s="38"/>
    </row>
    <row r="4" spans="2:19" x14ac:dyDescent="0.3">
      <c r="D4" s="6" t="s">
        <v>2</v>
      </c>
      <c r="E4" s="12">
        <v>10</v>
      </c>
      <c r="F4" s="11" t="s">
        <v>3</v>
      </c>
      <c r="G4" s="11"/>
      <c r="H4" s="11"/>
    </row>
    <row r="5" spans="2:19" x14ac:dyDescent="0.3">
      <c r="D5" s="8" t="s">
        <v>4</v>
      </c>
      <c r="E5" s="36">
        <v>30</v>
      </c>
      <c r="F5" s="3" t="s">
        <v>47</v>
      </c>
      <c r="G5" s="3"/>
      <c r="H5" s="3"/>
      <c r="S5" s="1"/>
    </row>
    <row r="6" spans="2:19" ht="16.95" customHeight="1" x14ac:dyDescent="0.3">
      <c r="D6" s="8" t="s">
        <v>5</v>
      </c>
      <c r="E6" s="36"/>
      <c r="F6" s="3"/>
      <c r="G6" s="3"/>
      <c r="H6" s="3"/>
    </row>
    <row r="7" spans="2:19" ht="15.6" customHeight="1" x14ac:dyDescent="0.3">
      <c r="B7" s="2" t="s">
        <v>50</v>
      </c>
      <c r="C7" s="2" t="s">
        <v>57</v>
      </c>
      <c r="D7" s="28" t="s">
        <v>78</v>
      </c>
      <c r="E7" s="31">
        <v>6.66</v>
      </c>
      <c r="F7" s="3" t="s">
        <v>6</v>
      </c>
      <c r="Q7" s="4"/>
    </row>
    <row r="8" spans="2:19" x14ac:dyDescent="0.3">
      <c r="B8" s="2" t="s">
        <v>51</v>
      </c>
      <c r="C8" s="2" t="s">
        <v>58</v>
      </c>
      <c r="D8" s="29" t="s">
        <v>7</v>
      </c>
      <c r="E8" s="31">
        <v>7.34</v>
      </c>
      <c r="F8" s="3" t="s">
        <v>6</v>
      </c>
    </row>
    <row r="9" spans="2:19" x14ac:dyDescent="0.3">
      <c r="B9" s="2" t="s">
        <v>52</v>
      </c>
      <c r="C9" s="2" t="s">
        <v>59</v>
      </c>
      <c r="D9" s="29" t="s">
        <v>8</v>
      </c>
      <c r="E9" s="31">
        <v>5.59</v>
      </c>
      <c r="F9" s="3" t="s">
        <v>6</v>
      </c>
    </row>
    <row r="10" spans="2:19" x14ac:dyDescent="0.3">
      <c r="D10" s="8" t="s">
        <v>9</v>
      </c>
      <c r="E10" s="36">
        <v>0.48499999999999999</v>
      </c>
      <c r="F10" s="3" t="s">
        <v>10</v>
      </c>
      <c r="G10" s="4"/>
      <c r="H10" s="4"/>
    </row>
    <row r="11" spans="2:19" x14ac:dyDescent="0.3">
      <c r="D11" s="8" t="s">
        <v>11</v>
      </c>
      <c r="E11" s="36">
        <v>0.05</v>
      </c>
      <c r="F11" s="3" t="s">
        <v>10</v>
      </c>
      <c r="G11" s="4"/>
      <c r="H11" s="4"/>
    </row>
    <row r="12" spans="2:19" x14ac:dyDescent="0.3">
      <c r="D12" s="8" t="s">
        <v>12</v>
      </c>
      <c r="E12" s="36">
        <v>5</v>
      </c>
      <c r="F12" s="3" t="s">
        <v>13</v>
      </c>
      <c r="G12" s="4"/>
      <c r="H12" s="4"/>
      <c r="K12"/>
    </row>
    <row r="13" spans="2:19" x14ac:dyDescent="0.3">
      <c r="D13" s="8" t="s">
        <v>49</v>
      </c>
      <c r="E13" s="43">
        <v>45870</v>
      </c>
      <c r="F13" s="3"/>
      <c r="G13" s="3"/>
      <c r="H13" s="3"/>
      <c r="K13"/>
    </row>
    <row r="14" spans="2:19" x14ac:dyDescent="0.3">
      <c r="D14" s="8" t="s">
        <v>15</v>
      </c>
      <c r="E14" s="44">
        <f>DAY(EOMONTH(E13,0))</f>
        <v>31</v>
      </c>
      <c r="K14"/>
    </row>
    <row r="15" spans="2:19" x14ac:dyDescent="0.3">
      <c r="D15" s="8" t="s">
        <v>94</v>
      </c>
      <c r="E15" s="72">
        <f>E14*24</f>
        <v>744</v>
      </c>
      <c r="K15"/>
    </row>
    <row r="16" spans="2:19" x14ac:dyDescent="0.3">
      <c r="D16" s="8" t="s">
        <v>95</v>
      </c>
      <c r="E16" s="72">
        <v>3</v>
      </c>
      <c r="K16"/>
    </row>
    <row r="17" spans="1:19" x14ac:dyDescent="0.3">
      <c r="D17" s="8" t="s">
        <v>96</v>
      </c>
      <c r="E17" s="72">
        <f>E15-E16</f>
        <v>741</v>
      </c>
      <c r="K17"/>
    </row>
    <row r="20" spans="1:19" x14ac:dyDescent="0.3">
      <c r="J20" s="29"/>
    </row>
    <row r="21" spans="1:19" x14ac:dyDescent="0.3">
      <c r="D21" s="18" t="s">
        <v>20</v>
      </c>
      <c r="E21" s="18" t="s">
        <v>3</v>
      </c>
      <c r="F21" s="14"/>
    </row>
    <row r="22" spans="1:19" x14ac:dyDescent="0.3">
      <c r="D22" s="3" t="s">
        <v>85</v>
      </c>
      <c r="E22" s="37">
        <f>85%*E4</f>
        <v>8.5</v>
      </c>
      <c r="J22" s="50"/>
    </row>
    <row r="23" spans="1:19" x14ac:dyDescent="0.3">
      <c r="D23" s="3" t="s">
        <v>22</v>
      </c>
      <c r="E23" s="37">
        <f>E4</f>
        <v>10</v>
      </c>
      <c r="J23" s="50"/>
      <c r="L23" s="51"/>
      <c r="M23" s="51"/>
      <c r="N23" s="1"/>
    </row>
    <row r="24" spans="1:19" x14ac:dyDescent="0.3">
      <c r="D24" s="34"/>
      <c r="E24" s="34"/>
      <c r="F24" s="34"/>
      <c r="J24" s="50"/>
      <c r="L24" s="51"/>
      <c r="N24" s="1"/>
    </row>
    <row r="25" spans="1:19" x14ac:dyDescent="0.3">
      <c r="D25" s="34"/>
      <c r="E25" s="34"/>
      <c r="F25" s="34"/>
      <c r="J25" s="78"/>
      <c r="N25" s="1"/>
    </row>
    <row r="26" spans="1:19" x14ac:dyDescent="0.3">
      <c r="D26" s="34"/>
      <c r="E26" s="34"/>
      <c r="F26" s="34"/>
      <c r="J26" s="2"/>
      <c r="N26" s="1"/>
    </row>
    <row r="27" spans="1:19" x14ac:dyDescent="0.3">
      <c r="D27" s="34"/>
      <c r="E27" s="34"/>
      <c r="F27" s="34"/>
      <c r="J27" s="2"/>
      <c r="K27" s="50">
        <f t="shared" ref="K27:R27" si="0">SUBTOTAL(9,K32:K62)</f>
        <v>229.25806451612917</v>
      </c>
      <c r="L27" s="19">
        <f t="shared" si="0"/>
        <v>1998.0000000000009</v>
      </c>
      <c r="M27" s="19">
        <f t="shared" si="0"/>
        <v>2935.9999999999986</v>
      </c>
      <c r="N27" s="19">
        <f t="shared" si="0"/>
        <v>2794.9999999999995</v>
      </c>
      <c r="O27" s="19">
        <f t="shared" si="0"/>
        <v>48.50259999999998</v>
      </c>
      <c r="P27" s="19">
        <f t="shared" si="0"/>
        <v>5.0002999999999957</v>
      </c>
      <c r="Q27" s="19">
        <f t="shared" si="0"/>
        <v>0</v>
      </c>
      <c r="R27" s="19">
        <f t="shared" si="0"/>
        <v>4.9999999999999982</v>
      </c>
      <c r="S27" s="19"/>
    </row>
    <row r="28" spans="1:19" x14ac:dyDescent="0.3">
      <c r="A28" s="54"/>
      <c r="B28" s="30"/>
      <c r="J28" s="9" t="s">
        <v>23</v>
      </c>
      <c r="K28" s="73"/>
      <c r="L28" s="10"/>
      <c r="Q28" s="93"/>
    </row>
    <row r="29" spans="1:19" ht="48" customHeight="1" x14ac:dyDescent="0.3">
      <c r="C29" s="1">
        <v>100</v>
      </c>
      <c r="J29" s="41"/>
      <c r="K29" s="74" t="s">
        <v>24</v>
      </c>
      <c r="L29" s="40" t="s">
        <v>25</v>
      </c>
      <c r="M29" s="40" t="s">
        <v>25</v>
      </c>
      <c r="N29" s="40" t="s">
        <v>25</v>
      </c>
      <c r="O29" s="40" t="s">
        <v>26</v>
      </c>
      <c r="P29" s="40" t="s">
        <v>27</v>
      </c>
      <c r="Q29" s="94" t="s">
        <v>28</v>
      </c>
      <c r="R29" s="40" t="s">
        <v>29</v>
      </c>
      <c r="S29" s="40" t="s">
        <v>30</v>
      </c>
    </row>
    <row r="30" spans="1:19" ht="56.4" customHeight="1" x14ac:dyDescent="0.3">
      <c r="C30" s="48" t="s">
        <v>93</v>
      </c>
      <c r="E30" s="48"/>
      <c r="F30" s="48"/>
      <c r="G30" s="48" t="s">
        <v>101</v>
      </c>
      <c r="J30" s="39"/>
      <c r="K30" s="75" t="s">
        <v>32</v>
      </c>
      <c r="L30" s="42" t="s">
        <v>33</v>
      </c>
      <c r="M30" s="42" t="s">
        <v>33</v>
      </c>
      <c r="N30" s="42" t="s">
        <v>33</v>
      </c>
      <c r="O30" s="42" t="s">
        <v>55</v>
      </c>
      <c r="P30" s="42" t="s">
        <v>56</v>
      </c>
      <c r="Q30" s="94" t="s">
        <v>34</v>
      </c>
      <c r="R30" s="42" t="s">
        <v>35</v>
      </c>
      <c r="S30" s="40"/>
    </row>
    <row r="31" spans="1:19" ht="48" customHeight="1" x14ac:dyDescent="0.3">
      <c r="A31" s="50"/>
      <c r="C31" s="47" t="s">
        <v>37</v>
      </c>
      <c r="F31" s="46" t="s">
        <v>36</v>
      </c>
      <c r="G31" s="47" t="s">
        <v>48</v>
      </c>
      <c r="H31" s="47" t="s">
        <v>38</v>
      </c>
      <c r="J31" s="6"/>
      <c r="K31" s="76"/>
      <c r="L31" s="7" t="s">
        <v>60</v>
      </c>
      <c r="M31" s="7" t="s">
        <v>61</v>
      </c>
      <c r="N31" s="7" t="s">
        <v>62</v>
      </c>
      <c r="O31" s="7"/>
      <c r="P31" s="7"/>
      <c r="Q31" s="95"/>
      <c r="R31" s="7"/>
      <c r="S31" s="7">
        <v>0</v>
      </c>
    </row>
    <row r="32" spans="1:19" x14ac:dyDescent="0.3">
      <c r="C32" s="16">
        <f t="shared" ref="C32:C62" si="1">$C$29/$E$14</f>
        <v>3.225806451612903</v>
      </c>
      <c r="F32" s="15">
        <f>E13</f>
        <v>45870</v>
      </c>
      <c r="G32" s="32">
        <v>7</v>
      </c>
      <c r="H32" s="35"/>
      <c r="J32" s="5">
        <f>F32</f>
        <v>45870</v>
      </c>
      <c r="K32" s="50">
        <f t="shared" ref="K32:K62" si="2">ROUND((($E$5*$E$17*G32)/$E$15),0)/$E$14</f>
        <v>6.741935483870968</v>
      </c>
      <c r="L32" s="19">
        <f>('ED Cal_Sample'!$J$11/'WB_LT Comm_Sample'!$E$14)*$E$7</f>
        <v>64.451612903225808</v>
      </c>
      <c r="M32" s="19">
        <f>('ED Cal_Sample'!$K$11/'WB_LT Comm_Sample'!$E$14)*$E$8</f>
        <v>94.709677419354833</v>
      </c>
      <c r="N32" s="19">
        <f>('ED Cal_Sample'!$L$11/'WB_LT Comm_Sample'!$E$14)*$E$9</f>
        <v>90.161290322580641</v>
      </c>
      <c r="O32" s="19">
        <f t="shared" ref="O32:O62" si="3">ROUNDUP(C32*$E$10,4)</f>
        <v>1.5646</v>
      </c>
      <c r="P32" s="19">
        <f t="shared" ref="P32:P62" si="4">ROUNDUP(C32*$E$11,4)</f>
        <v>0.1613</v>
      </c>
      <c r="Q32" s="96">
        <f t="shared" ref="Q32:Q62" si="5">H32*(100%+1%)</f>
        <v>0</v>
      </c>
      <c r="R32" s="19">
        <f t="shared" ref="R32:R62" si="6">$E$12/$E$14</f>
        <v>0.16129032258064516</v>
      </c>
      <c r="S32" s="19">
        <f>ROUNDUP((S31-(K32+L32+M32+N32+O32+P32)),4)+Q32+R32</f>
        <v>-257.62920967741928</v>
      </c>
    </row>
    <row r="33" spans="3:19" x14ac:dyDescent="0.3">
      <c r="C33" s="16">
        <f t="shared" si="1"/>
        <v>3.225806451612903</v>
      </c>
      <c r="F33" s="15">
        <f>F32+1</f>
        <v>45871</v>
      </c>
      <c r="G33" s="32">
        <v>7</v>
      </c>
      <c r="H33" s="35"/>
      <c r="J33" s="5">
        <f t="shared" ref="J33:J35" si="7">J32+1</f>
        <v>45871</v>
      </c>
      <c r="K33" s="50">
        <f t="shared" si="2"/>
        <v>6.741935483870968</v>
      </c>
      <c r="L33" s="19">
        <f>('ED Cal_Sample'!$J$11/'WB_LT Comm_Sample'!$E$14)*$E$7</f>
        <v>64.451612903225808</v>
      </c>
      <c r="M33" s="19">
        <f>('ED Cal_Sample'!$K$11/'WB_LT Comm_Sample'!$E$14)*$E$8</f>
        <v>94.709677419354833</v>
      </c>
      <c r="N33" s="19">
        <f>('ED Cal_Sample'!$L$11/'WB_LT Comm_Sample'!$E$14)*$E$9</f>
        <v>90.161290322580641</v>
      </c>
      <c r="O33" s="19">
        <f t="shared" si="3"/>
        <v>1.5646</v>
      </c>
      <c r="P33" s="19">
        <f t="shared" si="4"/>
        <v>0.1613</v>
      </c>
      <c r="Q33" s="96">
        <f t="shared" si="5"/>
        <v>0</v>
      </c>
      <c r="R33" s="19">
        <f t="shared" si="6"/>
        <v>0.16129032258064516</v>
      </c>
      <c r="S33" s="19">
        <f t="shared" ref="S33:S62" si="8">ROUNDUP((S32-(K33+L33+M33+N33+O33+P33)),4)+Q33+R33</f>
        <v>-515.25840967741931</v>
      </c>
    </row>
    <row r="34" spans="3:19" x14ac:dyDescent="0.3">
      <c r="C34" s="16">
        <f t="shared" si="1"/>
        <v>3.225806451612903</v>
      </c>
      <c r="F34" s="15">
        <f t="shared" ref="F34:F62" si="9">F33+1</f>
        <v>45872</v>
      </c>
      <c r="G34" s="32">
        <v>7</v>
      </c>
      <c r="H34" s="35"/>
      <c r="J34" s="5">
        <f t="shared" si="7"/>
        <v>45872</v>
      </c>
      <c r="K34" s="50">
        <f t="shared" si="2"/>
        <v>6.741935483870968</v>
      </c>
      <c r="L34" s="19">
        <f>('ED Cal_Sample'!$J$11/'WB_LT Comm_Sample'!$E$14)*$E$7</f>
        <v>64.451612903225808</v>
      </c>
      <c r="M34" s="19">
        <f>('ED Cal_Sample'!$K$11/'WB_LT Comm_Sample'!$E$14)*$E$8</f>
        <v>94.709677419354833</v>
      </c>
      <c r="N34" s="19">
        <f>('ED Cal_Sample'!$L$11/'WB_LT Comm_Sample'!$E$14)*$E$9</f>
        <v>90.161290322580641</v>
      </c>
      <c r="O34" s="19">
        <f t="shared" si="3"/>
        <v>1.5646</v>
      </c>
      <c r="P34" s="19">
        <f t="shared" si="4"/>
        <v>0.1613</v>
      </c>
      <c r="Q34" s="96">
        <f t="shared" si="5"/>
        <v>0</v>
      </c>
      <c r="R34" s="19">
        <f t="shared" si="6"/>
        <v>0.16129032258064516</v>
      </c>
      <c r="S34" s="19">
        <f t="shared" si="8"/>
        <v>-772.88760967741939</v>
      </c>
    </row>
    <row r="35" spans="3:19" x14ac:dyDescent="0.3">
      <c r="C35" s="16">
        <f t="shared" si="1"/>
        <v>3.225806451612903</v>
      </c>
      <c r="F35" s="15">
        <f t="shared" si="9"/>
        <v>45873</v>
      </c>
      <c r="G35" s="32">
        <v>7</v>
      </c>
      <c r="H35" s="35"/>
      <c r="J35" s="5">
        <f t="shared" si="7"/>
        <v>45873</v>
      </c>
      <c r="K35" s="50">
        <f t="shared" si="2"/>
        <v>6.741935483870968</v>
      </c>
      <c r="L35" s="19">
        <f>('ED Cal_Sample'!$J$11/'WB_LT Comm_Sample'!$E$14)*$E$7</f>
        <v>64.451612903225808</v>
      </c>
      <c r="M35" s="19">
        <f>('ED Cal_Sample'!$K$11/'WB_LT Comm_Sample'!$E$14)*$E$8</f>
        <v>94.709677419354833</v>
      </c>
      <c r="N35" s="19">
        <f>('ED Cal_Sample'!$L$11/'WB_LT Comm_Sample'!$E$14)*$E$9</f>
        <v>90.161290322580641</v>
      </c>
      <c r="O35" s="19">
        <f t="shared" si="3"/>
        <v>1.5646</v>
      </c>
      <c r="P35" s="19">
        <f t="shared" si="4"/>
        <v>0.1613</v>
      </c>
      <c r="Q35" s="96">
        <f t="shared" si="5"/>
        <v>0</v>
      </c>
      <c r="R35" s="19">
        <f t="shared" si="6"/>
        <v>0.16129032258064516</v>
      </c>
      <c r="S35" s="19">
        <f t="shared" si="8"/>
        <v>-1030.5168096774194</v>
      </c>
    </row>
    <row r="36" spans="3:19" x14ac:dyDescent="0.3">
      <c r="C36" s="16">
        <f t="shared" si="1"/>
        <v>3.225806451612903</v>
      </c>
      <c r="F36" s="15">
        <f t="shared" si="9"/>
        <v>45874</v>
      </c>
      <c r="G36" s="32">
        <v>7</v>
      </c>
      <c r="H36" s="35"/>
      <c r="J36" s="5">
        <f>J35+1</f>
        <v>45874</v>
      </c>
      <c r="K36" s="50">
        <f t="shared" si="2"/>
        <v>6.741935483870968</v>
      </c>
      <c r="L36" s="19">
        <f>('ED Cal_Sample'!$J$11/'WB_LT Comm_Sample'!$E$14)*$E$7</f>
        <v>64.451612903225808</v>
      </c>
      <c r="M36" s="19">
        <f>('ED Cal_Sample'!$K$11/'WB_LT Comm_Sample'!$E$14)*$E$8</f>
        <v>94.709677419354833</v>
      </c>
      <c r="N36" s="19">
        <f>('ED Cal_Sample'!$L$11/'WB_LT Comm_Sample'!$E$14)*$E$9</f>
        <v>90.161290322580641</v>
      </c>
      <c r="O36" s="19">
        <f t="shared" si="3"/>
        <v>1.5646</v>
      </c>
      <c r="P36" s="19">
        <f t="shared" si="4"/>
        <v>0.1613</v>
      </c>
      <c r="Q36" s="96">
        <f t="shared" si="5"/>
        <v>0</v>
      </c>
      <c r="R36" s="19">
        <f t="shared" si="6"/>
        <v>0.16129032258064516</v>
      </c>
      <c r="S36" s="19">
        <f t="shared" si="8"/>
        <v>-1288.1460096774192</v>
      </c>
    </row>
    <row r="37" spans="3:19" x14ac:dyDescent="0.3">
      <c r="C37" s="16">
        <f t="shared" si="1"/>
        <v>3.225806451612903</v>
      </c>
      <c r="F37" s="15">
        <f t="shared" si="9"/>
        <v>45875</v>
      </c>
      <c r="G37" s="32">
        <v>7</v>
      </c>
      <c r="H37" s="35"/>
      <c r="J37" s="5">
        <f t="shared" ref="J37:J62" si="10">J36+1</f>
        <v>45875</v>
      </c>
      <c r="K37" s="50">
        <f t="shared" si="2"/>
        <v>6.741935483870968</v>
      </c>
      <c r="L37" s="19">
        <f>('ED Cal_Sample'!$J$11/'WB_LT Comm_Sample'!$E$14)*$E$7</f>
        <v>64.451612903225808</v>
      </c>
      <c r="M37" s="19">
        <f>('ED Cal_Sample'!$K$11/'WB_LT Comm_Sample'!$E$14)*$E$8</f>
        <v>94.709677419354833</v>
      </c>
      <c r="N37" s="19">
        <f>('ED Cal_Sample'!$L$11/'WB_LT Comm_Sample'!$E$14)*$E$9</f>
        <v>90.161290322580641</v>
      </c>
      <c r="O37" s="19">
        <f t="shared" si="3"/>
        <v>1.5646</v>
      </c>
      <c r="P37" s="19">
        <f t="shared" si="4"/>
        <v>0.1613</v>
      </c>
      <c r="Q37" s="96">
        <f t="shared" si="5"/>
        <v>0</v>
      </c>
      <c r="R37" s="19">
        <f t="shared" si="6"/>
        <v>0.16129032258064516</v>
      </c>
      <c r="S37" s="19">
        <f t="shared" si="8"/>
        <v>-1545.7752096774193</v>
      </c>
    </row>
    <row r="38" spans="3:19" x14ac:dyDescent="0.3">
      <c r="C38" s="16">
        <f t="shared" si="1"/>
        <v>3.225806451612903</v>
      </c>
      <c r="F38" s="15">
        <f t="shared" si="9"/>
        <v>45876</v>
      </c>
      <c r="G38" s="32">
        <v>7</v>
      </c>
      <c r="H38" s="35"/>
      <c r="J38" s="5">
        <f t="shared" si="10"/>
        <v>45876</v>
      </c>
      <c r="K38" s="50">
        <f t="shared" si="2"/>
        <v>6.741935483870968</v>
      </c>
      <c r="L38" s="19">
        <f>('ED Cal_Sample'!$J$11/'WB_LT Comm_Sample'!$E$14)*$E$7</f>
        <v>64.451612903225808</v>
      </c>
      <c r="M38" s="19">
        <f>('ED Cal_Sample'!$K$11/'WB_LT Comm_Sample'!$E$14)*$E$8</f>
        <v>94.709677419354833</v>
      </c>
      <c r="N38" s="19">
        <f>('ED Cal_Sample'!$L$11/'WB_LT Comm_Sample'!$E$14)*$E$9</f>
        <v>90.161290322580641</v>
      </c>
      <c r="O38" s="19">
        <f t="shared" si="3"/>
        <v>1.5646</v>
      </c>
      <c r="P38" s="19">
        <f t="shared" si="4"/>
        <v>0.1613</v>
      </c>
      <c r="Q38" s="96">
        <f t="shared" si="5"/>
        <v>0</v>
      </c>
      <c r="R38" s="19">
        <f t="shared" si="6"/>
        <v>0.16129032258064516</v>
      </c>
      <c r="S38" s="19">
        <f t="shared" si="8"/>
        <v>-1803.4044096774192</v>
      </c>
    </row>
    <row r="39" spans="3:19" x14ac:dyDescent="0.3">
      <c r="C39" s="16">
        <f t="shared" si="1"/>
        <v>3.225806451612903</v>
      </c>
      <c r="F39" s="15">
        <f t="shared" si="9"/>
        <v>45877</v>
      </c>
      <c r="G39" s="32">
        <v>7</v>
      </c>
      <c r="H39" s="35"/>
      <c r="J39" s="5">
        <f t="shared" si="10"/>
        <v>45877</v>
      </c>
      <c r="K39" s="50">
        <f t="shared" si="2"/>
        <v>6.741935483870968</v>
      </c>
      <c r="L39" s="19">
        <f>('ED Cal_Sample'!$J$11/'WB_LT Comm_Sample'!$E$14)*$E$7</f>
        <v>64.451612903225808</v>
      </c>
      <c r="M39" s="19">
        <f>('ED Cal_Sample'!$K$11/'WB_LT Comm_Sample'!$E$14)*$E$8</f>
        <v>94.709677419354833</v>
      </c>
      <c r="N39" s="19">
        <f>('ED Cal_Sample'!$L$11/'WB_LT Comm_Sample'!$E$14)*$E$9</f>
        <v>90.161290322580641</v>
      </c>
      <c r="O39" s="19">
        <f t="shared" si="3"/>
        <v>1.5646</v>
      </c>
      <c r="P39" s="19">
        <f t="shared" si="4"/>
        <v>0.1613</v>
      </c>
      <c r="Q39" s="96">
        <f t="shared" si="5"/>
        <v>0</v>
      </c>
      <c r="R39" s="19">
        <f t="shared" si="6"/>
        <v>0.16129032258064516</v>
      </c>
      <c r="S39" s="19">
        <f t="shared" si="8"/>
        <v>-2061.0336096774199</v>
      </c>
    </row>
    <row r="40" spans="3:19" x14ac:dyDescent="0.3">
      <c r="C40" s="16">
        <f t="shared" si="1"/>
        <v>3.225806451612903</v>
      </c>
      <c r="F40" s="15">
        <f t="shared" si="9"/>
        <v>45878</v>
      </c>
      <c r="G40" s="32">
        <v>7</v>
      </c>
      <c r="H40" s="35"/>
      <c r="J40" s="5">
        <f t="shared" si="10"/>
        <v>45878</v>
      </c>
      <c r="K40" s="50">
        <f t="shared" si="2"/>
        <v>6.741935483870968</v>
      </c>
      <c r="L40" s="19">
        <f>('ED Cal_Sample'!$J$11/'WB_LT Comm_Sample'!$E$14)*$E$7</f>
        <v>64.451612903225808</v>
      </c>
      <c r="M40" s="19">
        <f>('ED Cal_Sample'!$K$11/'WB_LT Comm_Sample'!$E$14)*$E$8</f>
        <v>94.709677419354833</v>
      </c>
      <c r="N40" s="19">
        <f>('ED Cal_Sample'!$L$11/'WB_LT Comm_Sample'!$E$14)*$E$9</f>
        <v>90.161290322580641</v>
      </c>
      <c r="O40" s="19">
        <f t="shared" si="3"/>
        <v>1.5646</v>
      </c>
      <c r="P40" s="19">
        <f t="shared" si="4"/>
        <v>0.1613</v>
      </c>
      <c r="Q40" s="96">
        <f t="shared" si="5"/>
        <v>0</v>
      </c>
      <c r="R40" s="19">
        <f t="shared" si="6"/>
        <v>0.16129032258064516</v>
      </c>
      <c r="S40" s="19">
        <f t="shared" si="8"/>
        <v>-2318.6628096774198</v>
      </c>
    </row>
    <row r="41" spans="3:19" x14ac:dyDescent="0.3">
      <c r="C41" s="16">
        <f t="shared" si="1"/>
        <v>3.225806451612903</v>
      </c>
      <c r="F41" s="15">
        <f t="shared" si="9"/>
        <v>45879</v>
      </c>
      <c r="G41" s="32">
        <v>7</v>
      </c>
      <c r="H41" s="35"/>
      <c r="J41" s="5">
        <f t="shared" si="10"/>
        <v>45879</v>
      </c>
      <c r="K41" s="50">
        <f t="shared" si="2"/>
        <v>6.741935483870968</v>
      </c>
      <c r="L41" s="19">
        <f>('ED Cal_Sample'!$J$11/'WB_LT Comm_Sample'!$E$14)*$E$7</f>
        <v>64.451612903225808</v>
      </c>
      <c r="M41" s="19">
        <f>('ED Cal_Sample'!$K$11/'WB_LT Comm_Sample'!$E$14)*$E$8</f>
        <v>94.709677419354833</v>
      </c>
      <c r="N41" s="19">
        <f>('ED Cal_Sample'!$L$11/'WB_LT Comm_Sample'!$E$14)*$E$9</f>
        <v>90.161290322580641</v>
      </c>
      <c r="O41" s="19">
        <f t="shared" si="3"/>
        <v>1.5646</v>
      </c>
      <c r="P41" s="19">
        <f t="shared" si="4"/>
        <v>0.1613</v>
      </c>
      <c r="Q41" s="96">
        <f t="shared" si="5"/>
        <v>0</v>
      </c>
      <c r="R41" s="19">
        <f t="shared" si="6"/>
        <v>0.16129032258064516</v>
      </c>
      <c r="S41" s="19">
        <f t="shared" si="8"/>
        <v>-2576.2920096774196</v>
      </c>
    </row>
    <row r="42" spans="3:19" x14ac:dyDescent="0.3">
      <c r="C42" s="16">
        <f t="shared" si="1"/>
        <v>3.225806451612903</v>
      </c>
      <c r="F42" s="15">
        <f t="shared" si="9"/>
        <v>45880</v>
      </c>
      <c r="G42" s="32">
        <v>7</v>
      </c>
      <c r="H42" s="35"/>
      <c r="J42" s="5">
        <f t="shared" si="10"/>
        <v>45880</v>
      </c>
      <c r="K42" s="50">
        <f t="shared" si="2"/>
        <v>6.741935483870968</v>
      </c>
      <c r="L42" s="19">
        <f>('ED Cal_Sample'!$J$11/'WB_LT Comm_Sample'!$E$14)*$E$7</f>
        <v>64.451612903225808</v>
      </c>
      <c r="M42" s="19">
        <f>('ED Cal_Sample'!$K$11/'WB_LT Comm_Sample'!$E$14)*$E$8</f>
        <v>94.709677419354833</v>
      </c>
      <c r="N42" s="19">
        <f>('ED Cal_Sample'!$L$11/'WB_LT Comm_Sample'!$E$14)*$E$9</f>
        <v>90.161290322580641</v>
      </c>
      <c r="O42" s="19">
        <f t="shared" si="3"/>
        <v>1.5646</v>
      </c>
      <c r="P42" s="19">
        <f t="shared" si="4"/>
        <v>0.1613</v>
      </c>
      <c r="Q42" s="96">
        <f t="shared" si="5"/>
        <v>0</v>
      </c>
      <c r="R42" s="19">
        <f t="shared" si="6"/>
        <v>0.16129032258064516</v>
      </c>
      <c r="S42" s="19">
        <f t="shared" si="8"/>
        <v>-2833.9212096774195</v>
      </c>
    </row>
    <row r="43" spans="3:19" x14ac:dyDescent="0.3">
      <c r="C43" s="16">
        <f t="shared" si="1"/>
        <v>3.225806451612903</v>
      </c>
      <c r="F43" s="15">
        <f t="shared" si="9"/>
        <v>45881</v>
      </c>
      <c r="G43" s="32">
        <v>7</v>
      </c>
      <c r="H43" s="35"/>
      <c r="J43" s="5">
        <f t="shared" si="10"/>
        <v>45881</v>
      </c>
      <c r="K43" s="50">
        <f t="shared" si="2"/>
        <v>6.741935483870968</v>
      </c>
      <c r="L43" s="19">
        <f>('ED Cal_Sample'!$J$11/'WB_LT Comm_Sample'!$E$14)*$E$7</f>
        <v>64.451612903225808</v>
      </c>
      <c r="M43" s="19">
        <f>('ED Cal_Sample'!$K$11/'WB_LT Comm_Sample'!$E$14)*$E$8</f>
        <v>94.709677419354833</v>
      </c>
      <c r="N43" s="19">
        <f>('ED Cal_Sample'!$L$11/'WB_LT Comm_Sample'!$E$14)*$E$9</f>
        <v>90.161290322580641</v>
      </c>
      <c r="O43" s="19">
        <f t="shared" si="3"/>
        <v>1.5646</v>
      </c>
      <c r="P43" s="19">
        <f t="shared" si="4"/>
        <v>0.1613</v>
      </c>
      <c r="Q43" s="96">
        <f t="shared" si="5"/>
        <v>0</v>
      </c>
      <c r="R43" s="19">
        <f t="shared" si="6"/>
        <v>0.16129032258064516</v>
      </c>
      <c r="S43" s="19">
        <f t="shared" si="8"/>
        <v>-3091.5504096774198</v>
      </c>
    </row>
    <row r="44" spans="3:19" x14ac:dyDescent="0.3">
      <c r="C44" s="16">
        <f t="shared" si="1"/>
        <v>3.225806451612903</v>
      </c>
      <c r="F44" s="15">
        <f t="shared" si="9"/>
        <v>45882</v>
      </c>
      <c r="G44" s="91">
        <f>MAX('Addl MD Cal-Sample'!I22:I52)</f>
        <v>28</v>
      </c>
      <c r="H44" s="35"/>
      <c r="J44" s="5">
        <f t="shared" si="10"/>
        <v>45882</v>
      </c>
      <c r="K44" s="50">
        <f t="shared" si="2"/>
        <v>27</v>
      </c>
      <c r="L44" s="19">
        <f>('ED Cal_Sample'!$J$11/'WB_LT Comm_Sample'!$E$14)*$E$7</f>
        <v>64.451612903225808</v>
      </c>
      <c r="M44" s="19">
        <f>('ED Cal_Sample'!$K$11/'WB_LT Comm_Sample'!$E$14)*$E$8</f>
        <v>94.709677419354833</v>
      </c>
      <c r="N44" s="19">
        <f>('ED Cal_Sample'!$L$11/'WB_LT Comm_Sample'!$E$14)*$E$9</f>
        <v>90.161290322580641</v>
      </c>
      <c r="O44" s="19">
        <f t="shared" si="3"/>
        <v>1.5646</v>
      </c>
      <c r="P44" s="19">
        <f t="shared" si="4"/>
        <v>0.1613</v>
      </c>
      <c r="Q44" s="96">
        <f t="shared" si="5"/>
        <v>0</v>
      </c>
      <c r="R44" s="19">
        <f t="shared" si="6"/>
        <v>0.16129032258064516</v>
      </c>
      <c r="S44" s="19">
        <f t="shared" si="8"/>
        <v>-3369.4376096774199</v>
      </c>
    </row>
    <row r="45" spans="3:19" x14ac:dyDescent="0.3">
      <c r="C45" s="16">
        <f t="shared" si="1"/>
        <v>3.225806451612903</v>
      </c>
      <c r="F45" s="15">
        <f t="shared" si="9"/>
        <v>45883</v>
      </c>
      <c r="G45" s="32">
        <v>7</v>
      </c>
      <c r="H45" s="35"/>
      <c r="J45" s="5">
        <f t="shared" si="10"/>
        <v>45883</v>
      </c>
      <c r="K45" s="50">
        <f t="shared" si="2"/>
        <v>6.741935483870968</v>
      </c>
      <c r="L45" s="19">
        <f>('ED Cal_Sample'!$J$11/'WB_LT Comm_Sample'!$E$14)*$E$7</f>
        <v>64.451612903225808</v>
      </c>
      <c r="M45" s="19">
        <f>('ED Cal_Sample'!$K$11/'WB_LT Comm_Sample'!$E$14)*$E$8</f>
        <v>94.709677419354833</v>
      </c>
      <c r="N45" s="19">
        <f>('ED Cal_Sample'!$L$11/'WB_LT Comm_Sample'!$E$14)*$E$9</f>
        <v>90.161290322580641</v>
      </c>
      <c r="O45" s="19">
        <f t="shared" si="3"/>
        <v>1.5646</v>
      </c>
      <c r="P45" s="19">
        <f t="shared" si="4"/>
        <v>0.1613</v>
      </c>
      <c r="Q45" s="96">
        <f t="shared" si="5"/>
        <v>0</v>
      </c>
      <c r="R45" s="19">
        <f t="shared" si="6"/>
        <v>0.16129032258064516</v>
      </c>
      <c r="S45" s="19">
        <f t="shared" si="8"/>
        <v>-3627.0668096774198</v>
      </c>
    </row>
    <row r="46" spans="3:19" x14ac:dyDescent="0.3">
      <c r="C46" s="16">
        <f t="shared" si="1"/>
        <v>3.225806451612903</v>
      </c>
      <c r="F46" s="15">
        <f t="shared" si="9"/>
        <v>45884</v>
      </c>
      <c r="G46" s="32">
        <v>7</v>
      </c>
      <c r="H46" s="35"/>
      <c r="J46" s="5">
        <f t="shared" si="10"/>
        <v>45884</v>
      </c>
      <c r="K46" s="50">
        <f t="shared" si="2"/>
        <v>6.741935483870968</v>
      </c>
      <c r="L46" s="19">
        <f>('ED Cal_Sample'!$J$11/'WB_LT Comm_Sample'!$E$14)*$E$7</f>
        <v>64.451612903225808</v>
      </c>
      <c r="M46" s="19">
        <f>('ED Cal_Sample'!$K$11/'WB_LT Comm_Sample'!$E$14)*$E$8</f>
        <v>94.709677419354833</v>
      </c>
      <c r="N46" s="19">
        <f>('ED Cal_Sample'!$L$11/'WB_LT Comm_Sample'!$E$14)*$E$9</f>
        <v>90.161290322580641</v>
      </c>
      <c r="O46" s="19">
        <f t="shared" si="3"/>
        <v>1.5646</v>
      </c>
      <c r="P46" s="19">
        <f t="shared" si="4"/>
        <v>0.1613</v>
      </c>
      <c r="Q46" s="96">
        <f t="shared" si="5"/>
        <v>0</v>
      </c>
      <c r="R46" s="19">
        <f t="shared" si="6"/>
        <v>0.16129032258064516</v>
      </c>
      <c r="S46" s="19">
        <f t="shared" si="8"/>
        <v>-3884.6960096774196</v>
      </c>
    </row>
    <row r="47" spans="3:19" x14ac:dyDescent="0.3">
      <c r="C47" s="16">
        <f t="shared" si="1"/>
        <v>3.225806451612903</v>
      </c>
      <c r="F47" s="15">
        <f t="shared" si="9"/>
        <v>45885</v>
      </c>
      <c r="G47" s="32">
        <v>7</v>
      </c>
      <c r="H47" s="35"/>
      <c r="J47" s="5">
        <f t="shared" si="10"/>
        <v>45885</v>
      </c>
      <c r="K47" s="50">
        <f t="shared" si="2"/>
        <v>6.741935483870968</v>
      </c>
      <c r="L47" s="19">
        <f>('ED Cal_Sample'!$J$11/'WB_LT Comm_Sample'!$E$14)*$E$7</f>
        <v>64.451612903225808</v>
      </c>
      <c r="M47" s="19">
        <f>('ED Cal_Sample'!$K$11/'WB_LT Comm_Sample'!$E$14)*$E$8</f>
        <v>94.709677419354833</v>
      </c>
      <c r="N47" s="19">
        <f>('ED Cal_Sample'!$L$11/'WB_LT Comm_Sample'!$E$14)*$E$9</f>
        <v>90.161290322580641</v>
      </c>
      <c r="O47" s="19">
        <f t="shared" si="3"/>
        <v>1.5646</v>
      </c>
      <c r="P47" s="19">
        <f t="shared" si="4"/>
        <v>0.1613</v>
      </c>
      <c r="Q47" s="96">
        <f t="shared" si="5"/>
        <v>0</v>
      </c>
      <c r="R47" s="19">
        <f t="shared" si="6"/>
        <v>0.16129032258064516</v>
      </c>
      <c r="S47" s="19">
        <f t="shared" si="8"/>
        <v>-4142.3252096774195</v>
      </c>
    </row>
    <row r="48" spans="3:19" x14ac:dyDescent="0.3">
      <c r="C48" s="16">
        <f t="shared" si="1"/>
        <v>3.225806451612903</v>
      </c>
      <c r="F48" s="15">
        <f t="shared" si="9"/>
        <v>45886</v>
      </c>
      <c r="G48" s="32">
        <v>7</v>
      </c>
      <c r="H48" s="35"/>
      <c r="J48" s="5">
        <f t="shared" si="10"/>
        <v>45886</v>
      </c>
      <c r="K48" s="50">
        <f t="shared" si="2"/>
        <v>6.741935483870968</v>
      </c>
      <c r="L48" s="19">
        <f>('ED Cal_Sample'!$J$11/'WB_LT Comm_Sample'!$E$14)*$E$7</f>
        <v>64.451612903225808</v>
      </c>
      <c r="M48" s="19">
        <f>('ED Cal_Sample'!$K$11/'WB_LT Comm_Sample'!$E$14)*$E$8</f>
        <v>94.709677419354833</v>
      </c>
      <c r="N48" s="19">
        <f>('ED Cal_Sample'!$L$11/'WB_LT Comm_Sample'!$E$14)*$E$9</f>
        <v>90.161290322580641</v>
      </c>
      <c r="O48" s="19">
        <f t="shared" si="3"/>
        <v>1.5646</v>
      </c>
      <c r="P48" s="19">
        <f t="shared" si="4"/>
        <v>0.1613</v>
      </c>
      <c r="Q48" s="96">
        <f t="shared" si="5"/>
        <v>0</v>
      </c>
      <c r="R48" s="19">
        <f t="shared" si="6"/>
        <v>0.16129032258064516</v>
      </c>
      <c r="S48" s="19">
        <f t="shared" si="8"/>
        <v>-4399.9544096774198</v>
      </c>
    </row>
    <row r="49" spans="3:20" x14ac:dyDescent="0.3">
      <c r="C49" s="16">
        <f t="shared" si="1"/>
        <v>3.225806451612903</v>
      </c>
      <c r="F49" s="15">
        <f t="shared" si="9"/>
        <v>45887</v>
      </c>
      <c r="G49" s="32">
        <v>7</v>
      </c>
      <c r="H49" s="35"/>
      <c r="J49" s="5">
        <f t="shared" si="10"/>
        <v>45887</v>
      </c>
      <c r="K49" s="50">
        <f t="shared" si="2"/>
        <v>6.741935483870968</v>
      </c>
      <c r="L49" s="19">
        <f>('ED Cal_Sample'!$J$11/'WB_LT Comm_Sample'!$E$14)*$E$7</f>
        <v>64.451612903225808</v>
      </c>
      <c r="M49" s="19">
        <f>('ED Cal_Sample'!$K$11/'WB_LT Comm_Sample'!$E$14)*$E$8</f>
        <v>94.709677419354833</v>
      </c>
      <c r="N49" s="19">
        <f>('ED Cal_Sample'!$L$11/'WB_LT Comm_Sample'!$E$14)*$E$9</f>
        <v>90.161290322580641</v>
      </c>
      <c r="O49" s="19">
        <f t="shared" si="3"/>
        <v>1.5646</v>
      </c>
      <c r="P49" s="19">
        <f t="shared" si="4"/>
        <v>0.1613</v>
      </c>
      <c r="Q49" s="96">
        <f t="shared" si="5"/>
        <v>0</v>
      </c>
      <c r="R49" s="19">
        <f t="shared" si="6"/>
        <v>0.16129032258064516</v>
      </c>
      <c r="S49" s="19">
        <f t="shared" si="8"/>
        <v>-4657.5836096774201</v>
      </c>
    </row>
    <row r="50" spans="3:20" x14ac:dyDescent="0.3">
      <c r="C50" s="16">
        <f t="shared" si="1"/>
        <v>3.225806451612903</v>
      </c>
      <c r="F50" s="15">
        <f t="shared" si="9"/>
        <v>45888</v>
      </c>
      <c r="G50" s="32">
        <v>7</v>
      </c>
      <c r="H50" s="35"/>
      <c r="J50" s="5">
        <f t="shared" si="10"/>
        <v>45888</v>
      </c>
      <c r="K50" s="50">
        <f t="shared" si="2"/>
        <v>6.741935483870968</v>
      </c>
      <c r="L50" s="19">
        <f>('ED Cal_Sample'!$J$11/'WB_LT Comm_Sample'!$E$14)*$E$7</f>
        <v>64.451612903225808</v>
      </c>
      <c r="M50" s="19">
        <f>('ED Cal_Sample'!$K$11/'WB_LT Comm_Sample'!$E$14)*$E$8</f>
        <v>94.709677419354833</v>
      </c>
      <c r="N50" s="19">
        <f>('ED Cal_Sample'!$L$11/'WB_LT Comm_Sample'!$E$14)*$E$9</f>
        <v>90.161290322580641</v>
      </c>
      <c r="O50" s="19">
        <f t="shared" si="3"/>
        <v>1.5646</v>
      </c>
      <c r="P50" s="19">
        <f t="shared" si="4"/>
        <v>0.1613</v>
      </c>
      <c r="Q50" s="96">
        <f t="shared" si="5"/>
        <v>0</v>
      </c>
      <c r="R50" s="19">
        <f t="shared" si="6"/>
        <v>0.16129032258064516</v>
      </c>
      <c r="S50" s="19">
        <f t="shared" si="8"/>
        <v>-4915.2128096774195</v>
      </c>
    </row>
    <row r="51" spans="3:20" x14ac:dyDescent="0.3">
      <c r="C51" s="16">
        <f t="shared" si="1"/>
        <v>3.225806451612903</v>
      </c>
      <c r="F51" s="15">
        <f t="shared" si="9"/>
        <v>45889</v>
      </c>
      <c r="G51" s="32">
        <v>7</v>
      </c>
      <c r="H51" s="35"/>
      <c r="J51" s="5">
        <f t="shared" si="10"/>
        <v>45889</v>
      </c>
      <c r="K51" s="50">
        <f t="shared" si="2"/>
        <v>6.741935483870968</v>
      </c>
      <c r="L51" s="19">
        <f>('ED Cal_Sample'!$J$11/'WB_LT Comm_Sample'!$E$14)*$E$7</f>
        <v>64.451612903225808</v>
      </c>
      <c r="M51" s="19">
        <f>('ED Cal_Sample'!$K$11/'WB_LT Comm_Sample'!$E$14)*$E$8</f>
        <v>94.709677419354833</v>
      </c>
      <c r="N51" s="19">
        <f>('ED Cal_Sample'!$L$11/'WB_LT Comm_Sample'!$E$14)*$E$9</f>
        <v>90.161290322580641</v>
      </c>
      <c r="O51" s="19">
        <f t="shared" si="3"/>
        <v>1.5646</v>
      </c>
      <c r="P51" s="19">
        <f t="shared" si="4"/>
        <v>0.1613</v>
      </c>
      <c r="Q51" s="96">
        <f t="shared" si="5"/>
        <v>0</v>
      </c>
      <c r="R51" s="19">
        <f t="shared" si="6"/>
        <v>0.16129032258064516</v>
      </c>
      <c r="S51" s="19">
        <f t="shared" si="8"/>
        <v>-5172.8420096774198</v>
      </c>
    </row>
    <row r="52" spans="3:20" x14ac:dyDescent="0.3">
      <c r="C52" s="16">
        <f t="shared" si="1"/>
        <v>3.225806451612903</v>
      </c>
      <c r="F52" s="15">
        <f t="shared" si="9"/>
        <v>45890</v>
      </c>
      <c r="G52" s="32">
        <v>7</v>
      </c>
      <c r="H52" s="35"/>
      <c r="J52" s="5">
        <f t="shared" si="10"/>
        <v>45890</v>
      </c>
      <c r="K52" s="50">
        <f t="shared" si="2"/>
        <v>6.741935483870968</v>
      </c>
      <c r="L52" s="19">
        <f>('ED Cal_Sample'!$J$11/'WB_LT Comm_Sample'!$E$14)*$E$7</f>
        <v>64.451612903225808</v>
      </c>
      <c r="M52" s="19">
        <f>('ED Cal_Sample'!$K$11/'WB_LT Comm_Sample'!$E$14)*$E$8</f>
        <v>94.709677419354833</v>
      </c>
      <c r="N52" s="19">
        <f>('ED Cal_Sample'!$L$11/'WB_LT Comm_Sample'!$E$14)*$E$9</f>
        <v>90.161290322580641</v>
      </c>
      <c r="O52" s="19">
        <f t="shared" si="3"/>
        <v>1.5646</v>
      </c>
      <c r="P52" s="19">
        <f t="shared" si="4"/>
        <v>0.1613</v>
      </c>
      <c r="Q52" s="96">
        <f t="shared" si="5"/>
        <v>0</v>
      </c>
      <c r="R52" s="19">
        <f t="shared" si="6"/>
        <v>0.16129032258064516</v>
      </c>
      <c r="S52" s="19">
        <f t="shared" si="8"/>
        <v>-5430.4712096774201</v>
      </c>
    </row>
    <row r="53" spans="3:20" x14ac:dyDescent="0.3">
      <c r="C53" s="16">
        <f t="shared" si="1"/>
        <v>3.225806451612903</v>
      </c>
      <c r="F53" s="15">
        <f t="shared" si="9"/>
        <v>45891</v>
      </c>
      <c r="G53" s="32">
        <v>7</v>
      </c>
      <c r="H53" s="35"/>
      <c r="J53" s="5">
        <f t="shared" si="10"/>
        <v>45891</v>
      </c>
      <c r="K53" s="50">
        <f t="shared" si="2"/>
        <v>6.741935483870968</v>
      </c>
      <c r="L53" s="19">
        <f>('ED Cal_Sample'!$J$11/'WB_LT Comm_Sample'!$E$14)*$E$7</f>
        <v>64.451612903225808</v>
      </c>
      <c r="M53" s="19">
        <f>('ED Cal_Sample'!$K$11/'WB_LT Comm_Sample'!$E$14)*$E$8</f>
        <v>94.709677419354833</v>
      </c>
      <c r="N53" s="19">
        <f>('ED Cal_Sample'!$L$11/'WB_LT Comm_Sample'!$E$14)*$E$9</f>
        <v>90.161290322580641</v>
      </c>
      <c r="O53" s="19">
        <f t="shared" si="3"/>
        <v>1.5646</v>
      </c>
      <c r="P53" s="19">
        <f t="shared" si="4"/>
        <v>0.1613</v>
      </c>
      <c r="Q53" s="96">
        <f t="shared" si="5"/>
        <v>0</v>
      </c>
      <c r="R53" s="19">
        <f t="shared" si="6"/>
        <v>0.16129032258064516</v>
      </c>
      <c r="S53" s="19">
        <f t="shared" si="8"/>
        <v>-5688.1004096774195</v>
      </c>
    </row>
    <row r="54" spans="3:20" x14ac:dyDescent="0.3">
      <c r="C54" s="16">
        <f t="shared" si="1"/>
        <v>3.225806451612903</v>
      </c>
      <c r="F54" s="15">
        <f t="shared" si="9"/>
        <v>45892</v>
      </c>
      <c r="G54" s="32">
        <v>7</v>
      </c>
      <c r="H54" s="35"/>
      <c r="J54" s="5">
        <f t="shared" si="10"/>
        <v>45892</v>
      </c>
      <c r="K54" s="50">
        <f t="shared" si="2"/>
        <v>6.741935483870968</v>
      </c>
      <c r="L54" s="19">
        <f>('ED Cal_Sample'!$J$11/'WB_LT Comm_Sample'!$E$14)*$E$7</f>
        <v>64.451612903225808</v>
      </c>
      <c r="M54" s="19">
        <f>('ED Cal_Sample'!$K$11/'WB_LT Comm_Sample'!$E$14)*$E$8</f>
        <v>94.709677419354833</v>
      </c>
      <c r="N54" s="19">
        <f>('ED Cal_Sample'!$L$11/'WB_LT Comm_Sample'!$E$14)*$E$9</f>
        <v>90.161290322580641</v>
      </c>
      <c r="O54" s="19">
        <f t="shared" si="3"/>
        <v>1.5646</v>
      </c>
      <c r="P54" s="19">
        <f t="shared" si="4"/>
        <v>0.1613</v>
      </c>
      <c r="Q54" s="96">
        <f t="shared" si="5"/>
        <v>0</v>
      </c>
      <c r="R54" s="19">
        <f t="shared" si="6"/>
        <v>0.16129032258064516</v>
      </c>
      <c r="S54" s="19">
        <f t="shared" si="8"/>
        <v>-5945.7296096774198</v>
      </c>
    </row>
    <row r="55" spans="3:20" x14ac:dyDescent="0.3">
      <c r="C55" s="16">
        <f t="shared" si="1"/>
        <v>3.225806451612903</v>
      </c>
      <c r="F55" s="15">
        <f t="shared" si="9"/>
        <v>45893</v>
      </c>
      <c r="G55" s="32">
        <v>7</v>
      </c>
      <c r="H55" s="35"/>
      <c r="J55" s="5">
        <f t="shared" si="10"/>
        <v>45893</v>
      </c>
      <c r="K55" s="50">
        <f t="shared" si="2"/>
        <v>6.741935483870968</v>
      </c>
      <c r="L55" s="19">
        <f>('ED Cal_Sample'!$J$11/'WB_LT Comm_Sample'!$E$14)*$E$7</f>
        <v>64.451612903225808</v>
      </c>
      <c r="M55" s="19">
        <f>('ED Cal_Sample'!$K$11/'WB_LT Comm_Sample'!$E$14)*$E$8</f>
        <v>94.709677419354833</v>
      </c>
      <c r="N55" s="19">
        <f>('ED Cal_Sample'!$L$11/'WB_LT Comm_Sample'!$E$14)*$E$9</f>
        <v>90.161290322580641</v>
      </c>
      <c r="O55" s="19">
        <f t="shared" si="3"/>
        <v>1.5646</v>
      </c>
      <c r="P55" s="19">
        <f t="shared" si="4"/>
        <v>0.1613</v>
      </c>
      <c r="Q55" s="96">
        <f t="shared" si="5"/>
        <v>0</v>
      </c>
      <c r="R55" s="19">
        <f t="shared" si="6"/>
        <v>0.16129032258064516</v>
      </c>
      <c r="S55" s="19">
        <f t="shared" si="8"/>
        <v>-6203.3588096774201</v>
      </c>
    </row>
    <row r="56" spans="3:20" x14ac:dyDescent="0.3">
      <c r="C56" s="16">
        <f t="shared" si="1"/>
        <v>3.225806451612903</v>
      </c>
      <c r="F56" s="15">
        <f t="shared" si="9"/>
        <v>45894</v>
      </c>
      <c r="G56" s="32">
        <v>7</v>
      </c>
      <c r="H56" s="35"/>
      <c r="J56" s="5">
        <f t="shared" si="10"/>
        <v>45894</v>
      </c>
      <c r="K56" s="50">
        <f t="shared" si="2"/>
        <v>6.741935483870968</v>
      </c>
      <c r="L56" s="19">
        <f>('ED Cal_Sample'!$J$11/'WB_LT Comm_Sample'!$E$14)*$E$7</f>
        <v>64.451612903225808</v>
      </c>
      <c r="M56" s="19">
        <f>('ED Cal_Sample'!$K$11/'WB_LT Comm_Sample'!$E$14)*$E$8</f>
        <v>94.709677419354833</v>
      </c>
      <c r="N56" s="19">
        <f>('ED Cal_Sample'!$L$11/'WB_LT Comm_Sample'!$E$14)*$E$9</f>
        <v>90.161290322580641</v>
      </c>
      <c r="O56" s="19">
        <f t="shared" si="3"/>
        <v>1.5646</v>
      </c>
      <c r="P56" s="19">
        <f t="shared" si="4"/>
        <v>0.1613</v>
      </c>
      <c r="Q56" s="96">
        <f t="shared" si="5"/>
        <v>0</v>
      </c>
      <c r="R56" s="19">
        <f t="shared" si="6"/>
        <v>0.16129032258064516</v>
      </c>
      <c r="S56" s="19">
        <f t="shared" si="8"/>
        <v>-6460.9880096774195</v>
      </c>
    </row>
    <row r="57" spans="3:20" x14ac:dyDescent="0.3">
      <c r="C57" s="16">
        <f t="shared" si="1"/>
        <v>3.225806451612903</v>
      </c>
      <c r="F57" s="15">
        <f t="shared" si="9"/>
        <v>45895</v>
      </c>
      <c r="G57" s="32">
        <v>7</v>
      </c>
      <c r="H57" s="35"/>
      <c r="J57" s="5">
        <f t="shared" si="10"/>
        <v>45895</v>
      </c>
      <c r="K57" s="50">
        <f t="shared" si="2"/>
        <v>6.741935483870968</v>
      </c>
      <c r="L57" s="19">
        <f>('ED Cal_Sample'!$J$11/'WB_LT Comm_Sample'!$E$14)*$E$7</f>
        <v>64.451612903225808</v>
      </c>
      <c r="M57" s="19">
        <f>('ED Cal_Sample'!$K$11/'WB_LT Comm_Sample'!$E$14)*$E$8</f>
        <v>94.709677419354833</v>
      </c>
      <c r="N57" s="19">
        <f>('ED Cal_Sample'!$L$11/'WB_LT Comm_Sample'!$E$14)*$E$9</f>
        <v>90.161290322580641</v>
      </c>
      <c r="O57" s="19">
        <f t="shared" si="3"/>
        <v>1.5646</v>
      </c>
      <c r="P57" s="19">
        <f t="shared" si="4"/>
        <v>0.1613</v>
      </c>
      <c r="Q57" s="96">
        <f t="shared" si="5"/>
        <v>0</v>
      </c>
      <c r="R57" s="19">
        <f t="shared" si="6"/>
        <v>0.16129032258064516</v>
      </c>
      <c r="S57" s="19">
        <f t="shared" si="8"/>
        <v>-6718.6172096774199</v>
      </c>
    </row>
    <row r="58" spans="3:20" x14ac:dyDescent="0.3">
      <c r="C58" s="16">
        <f t="shared" si="1"/>
        <v>3.225806451612903</v>
      </c>
      <c r="F58" s="15">
        <f t="shared" si="9"/>
        <v>45896</v>
      </c>
      <c r="G58" s="32">
        <v>7</v>
      </c>
      <c r="H58" s="35"/>
      <c r="J58" s="5">
        <f t="shared" si="10"/>
        <v>45896</v>
      </c>
      <c r="K58" s="50">
        <f t="shared" si="2"/>
        <v>6.741935483870968</v>
      </c>
      <c r="L58" s="19">
        <f>('ED Cal_Sample'!$J$11/'WB_LT Comm_Sample'!$E$14)*$E$7</f>
        <v>64.451612903225808</v>
      </c>
      <c r="M58" s="19">
        <f>('ED Cal_Sample'!$K$11/'WB_LT Comm_Sample'!$E$14)*$E$8</f>
        <v>94.709677419354833</v>
      </c>
      <c r="N58" s="19">
        <f>('ED Cal_Sample'!$L$11/'WB_LT Comm_Sample'!$E$14)*$E$9</f>
        <v>90.161290322580641</v>
      </c>
      <c r="O58" s="19">
        <f t="shared" si="3"/>
        <v>1.5646</v>
      </c>
      <c r="P58" s="19">
        <f t="shared" si="4"/>
        <v>0.1613</v>
      </c>
      <c r="Q58" s="96">
        <f t="shared" si="5"/>
        <v>0</v>
      </c>
      <c r="R58" s="19">
        <f t="shared" si="6"/>
        <v>0.16129032258064516</v>
      </c>
      <c r="S58" s="19">
        <f t="shared" si="8"/>
        <v>-6976.2464096774193</v>
      </c>
    </row>
    <row r="59" spans="3:20" x14ac:dyDescent="0.3">
      <c r="C59" s="16">
        <f t="shared" si="1"/>
        <v>3.225806451612903</v>
      </c>
      <c r="F59" s="15">
        <f t="shared" si="9"/>
        <v>45897</v>
      </c>
      <c r="G59" s="32">
        <v>7</v>
      </c>
      <c r="H59" s="35"/>
      <c r="J59" s="5">
        <f t="shared" si="10"/>
        <v>45897</v>
      </c>
      <c r="K59" s="50">
        <f t="shared" si="2"/>
        <v>6.741935483870968</v>
      </c>
      <c r="L59" s="19">
        <f>('ED Cal_Sample'!$J$11/'WB_LT Comm_Sample'!$E$14)*$E$7</f>
        <v>64.451612903225808</v>
      </c>
      <c r="M59" s="19">
        <f>('ED Cal_Sample'!$K$11/'WB_LT Comm_Sample'!$E$14)*$E$8</f>
        <v>94.709677419354833</v>
      </c>
      <c r="N59" s="19">
        <f>('ED Cal_Sample'!$L$11/'WB_LT Comm_Sample'!$E$14)*$E$9</f>
        <v>90.161290322580641</v>
      </c>
      <c r="O59" s="19">
        <f t="shared" si="3"/>
        <v>1.5646</v>
      </c>
      <c r="P59" s="19">
        <f t="shared" si="4"/>
        <v>0.1613</v>
      </c>
      <c r="Q59" s="96">
        <f t="shared" si="5"/>
        <v>0</v>
      </c>
      <c r="R59" s="19">
        <f t="shared" si="6"/>
        <v>0.16129032258064516</v>
      </c>
      <c r="S59" s="19">
        <f t="shared" si="8"/>
        <v>-7233.8756096774196</v>
      </c>
    </row>
    <row r="60" spans="3:20" x14ac:dyDescent="0.3">
      <c r="C60" s="16">
        <f t="shared" si="1"/>
        <v>3.225806451612903</v>
      </c>
      <c r="F60" s="15">
        <f t="shared" si="9"/>
        <v>45898</v>
      </c>
      <c r="G60" s="32">
        <v>7</v>
      </c>
      <c r="H60" s="35"/>
      <c r="J60" s="5">
        <f t="shared" si="10"/>
        <v>45898</v>
      </c>
      <c r="K60" s="50">
        <f t="shared" si="2"/>
        <v>6.741935483870968</v>
      </c>
      <c r="L60" s="19">
        <f>('ED Cal_Sample'!$J$11/'WB_LT Comm_Sample'!$E$14)*$E$7</f>
        <v>64.451612903225808</v>
      </c>
      <c r="M60" s="19">
        <f>('ED Cal_Sample'!$K$11/'WB_LT Comm_Sample'!$E$14)*$E$8</f>
        <v>94.709677419354833</v>
      </c>
      <c r="N60" s="19">
        <f>('ED Cal_Sample'!$L$11/'WB_LT Comm_Sample'!$E$14)*$E$9</f>
        <v>90.161290322580641</v>
      </c>
      <c r="O60" s="19">
        <f t="shared" si="3"/>
        <v>1.5646</v>
      </c>
      <c r="P60" s="19">
        <f t="shared" si="4"/>
        <v>0.1613</v>
      </c>
      <c r="Q60" s="96">
        <f t="shared" si="5"/>
        <v>0</v>
      </c>
      <c r="R60" s="19">
        <f t="shared" si="6"/>
        <v>0.16129032258064516</v>
      </c>
      <c r="S60" s="19">
        <f t="shared" si="8"/>
        <v>-7491.5048096774199</v>
      </c>
    </row>
    <row r="61" spans="3:20" x14ac:dyDescent="0.3">
      <c r="C61" s="16">
        <f t="shared" si="1"/>
        <v>3.225806451612903</v>
      </c>
      <c r="F61" s="15">
        <f t="shared" si="9"/>
        <v>45899</v>
      </c>
      <c r="G61" s="32">
        <v>7</v>
      </c>
      <c r="H61" s="35"/>
      <c r="J61" s="5">
        <f t="shared" si="10"/>
        <v>45899</v>
      </c>
      <c r="K61" s="50">
        <f t="shared" si="2"/>
        <v>6.741935483870968</v>
      </c>
      <c r="L61" s="19">
        <f>('ED Cal_Sample'!$J$11/'WB_LT Comm_Sample'!$E$14)*$E$7</f>
        <v>64.451612903225808</v>
      </c>
      <c r="M61" s="19">
        <f>('ED Cal_Sample'!$K$11/'WB_LT Comm_Sample'!$E$14)*$E$8</f>
        <v>94.709677419354833</v>
      </c>
      <c r="N61" s="19">
        <f>('ED Cal_Sample'!$L$11/'WB_LT Comm_Sample'!$E$14)*$E$9</f>
        <v>90.161290322580641</v>
      </c>
      <c r="O61" s="19">
        <f t="shared" si="3"/>
        <v>1.5646</v>
      </c>
      <c r="P61" s="19">
        <f t="shared" si="4"/>
        <v>0.1613</v>
      </c>
      <c r="Q61" s="96">
        <f t="shared" si="5"/>
        <v>0</v>
      </c>
      <c r="R61" s="19">
        <f t="shared" si="6"/>
        <v>0.16129032258064516</v>
      </c>
      <c r="S61" s="19">
        <f t="shared" si="8"/>
        <v>-7749.1340096774193</v>
      </c>
      <c r="T61" s="51"/>
    </row>
    <row r="62" spans="3:20" x14ac:dyDescent="0.3">
      <c r="C62" s="16">
        <f t="shared" si="1"/>
        <v>3.225806451612903</v>
      </c>
      <c r="F62" s="15">
        <f t="shared" si="9"/>
        <v>45900</v>
      </c>
      <c r="G62" s="32">
        <v>7</v>
      </c>
      <c r="H62" s="35"/>
      <c r="J62" s="5">
        <f t="shared" si="10"/>
        <v>45900</v>
      </c>
      <c r="K62" s="50">
        <f t="shared" si="2"/>
        <v>6.741935483870968</v>
      </c>
      <c r="L62" s="19">
        <f>('ED Cal_Sample'!$J$11/'WB_LT Comm_Sample'!$E$14)*$E$7</f>
        <v>64.451612903225808</v>
      </c>
      <c r="M62" s="19">
        <f>('ED Cal_Sample'!$K$11/'WB_LT Comm_Sample'!$E$14)*$E$8</f>
        <v>94.709677419354833</v>
      </c>
      <c r="N62" s="19">
        <f>('ED Cal_Sample'!$L$11/'WB_LT Comm_Sample'!$E$14)*$E$9</f>
        <v>90.161290322580641</v>
      </c>
      <c r="O62" s="19">
        <f t="shared" si="3"/>
        <v>1.5646</v>
      </c>
      <c r="P62" s="19">
        <f t="shared" si="4"/>
        <v>0.1613</v>
      </c>
      <c r="Q62" s="96">
        <f t="shared" si="5"/>
        <v>0</v>
      </c>
      <c r="R62" s="19">
        <f t="shared" si="6"/>
        <v>0.16129032258064516</v>
      </c>
      <c r="S62" s="19">
        <f t="shared" si="8"/>
        <v>-8006.7632096774196</v>
      </c>
      <c r="T62" s="51">
        <f>S62-(M65+M69+M70)</f>
        <v>-9650.319338709678</v>
      </c>
    </row>
    <row r="63" spans="3:20" x14ac:dyDescent="0.3">
      <c r="J63" s="5"/>
      <c r="L63" s="13"/>
      <c r="M63" s="13"/>
      <c r="N63" s="13"/>
      <c r="P63" s="13"/>
      <c r="Q63" s="97"/>
      <c r="R63" s="13"/>
      <c r="S63" s="13"/>
    </row>
    <row r="64" spans="3:20" x14ac:dyDescent="0.3">
      <c r="F64" s="17"/>
      <c r="L64" t="s">
        <v>102</v>
      </c>
      <c r="M64" t="s">
        <v>103</v>
      </c>
    </row>
    <row r="65" spans="10:14" x14ac:dyDescent="0.3">
      <c r="J65" s="21" t="s">
        <v>39</v>
      </c>
      <c r="L65" s="19">
        <f>SUM(K32:K63)</f>
        <v>229.25806451612917</v>
      </c>
      <c r="M65" s="19">
        <f>'Addl MD Cal-Sample'!L19-L65</f>
        <v>607.74193548387086</v>
      </c>
      <c r="N65" s="19"/>
    </row>
    <row r="66" spans="10:14" x14ac:dyDescent="0.3">
      <c r="J66" s="21" t="s">
        <v>40</v>
      </c>
      <c r="L66" s="19">
        <f>SUM(L32:L63)+SUM(M32:M63)+SUM(N32:N63)</f>
        <v>7729</v>
      </c>
      <c r="M66" s="19"/>
      <c r="N66" s="19"/>
    </row>
    <row r="67" spans="10:14" x14ac:dyDescent="0.3">
      <c r="J67" s="21" t="s">
        <v>41</v>
      </c>
      <c r="L67" s="19">
        <f>SUM(O32:O63)</f>
        <v>48.50259999999998</v>
      </c>
      <c r="M67" s="19"/>
      <c r="N67" s="19"/>
    </row>
    <row r="68" spans="10:14" x14ac:dyDescent="0.3">
      <c r="J68" s="21" t="s">
        <v>42</v>
      </c>
      <c r="L68" s="19">
        <f>SUM(P32:P63)</f>
        <v>5.0002999999999957</v>
      </c>
      <c r="M68" s="19"/>
      <c r="N68" s="19"/>
    </row>
    <row r="69" spans="10:14" x14ac:dyDescent="0.3">
      <c r="J69" s="21" t="s">
        <v>43</v>
      </c>
      <c r="L69" s="19"/>
      <c r="M69" s="19">
        <f>'ED Cal_Sample'!K31</f>
        <v>928</v>
      </c>
      <c r="N69" s="19"/>
    </row>
    <row r="70" spans="10:14" x14ac:dyDescent="0.3">
      <c r="J70" s="21" t="s">
        <v>66</v>
      </c>
      <c r="M70" s="19">
        <f>'Addl MD Cal-Sample'!M29</f>
        <v>107.81419354838711</v>
      </c>
      <c r="N70" s="19"/>
    </row>
    <row r="71" spans="10:14" x14ac:dyDescent="0.3">
      <c r="J71" s="21" t="s">
        <v>44</v>
      </c>
      <c r="L71" s="19">
        <f>-SUM(Q32:Q62)</f>
        <v>0</v>
      </c>
      <c r="M71" s="19"/>
      <c r="N71" s="19"/>
    </row>
    <row r="72" spans="10:14" x14ac:dyDescent="0.3">
      <c r="J72" s="22" t="s">
        <v>45</v>
      </c>
      <c r="K72" s="77"/>
      <c r="L72" s="33">
        <f>-SUM(R32:R63)</f>
        <v>-4.9999999999999982</v>
      </c>
      <c r="M72" s="33"/>
      <c r="N72" s="33"/>
    </row>
    <row r="73" spans="10:14" x14ac:dyDescent="0.3">
      <c r="J73" s="21" t="s">
        <v>46</v>
      </c>
      <c r="L73" s="20">
        <f>SUM(L65:L72)</f>
        <v>8006.7609645161283</v>
      </c>
      <c r="M73" s="20">
        <f>SUM(M65:M72)</f>
        <v>1643.5561290322578</v>
      </c>
      <c r="N73" s="20">
        <f>L73+M73</f>
        <v>9650.3170935483868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0530F-3A46-4926-B69E-3508F2C01F39}">
  <sheetPr>
    <tabColor rgb="FF0070C0"/>
  </sheetPr>
  <dimension ref="A2:S61"/>
  <sheetViews>
    <sheetView showGridLines="0" topLeftCell="A6" zoomScaleNormal="100" workbookViewId="0">
      <selection activeCell="N29" sqref="N29"/>
    </sheetView>
  </sheetViews>
  <sheetFormatPr defaultRowHeight="14.4" x14ac:dyDescent="0.3"/>
  <cols>
    <col min="1" max="1" width="12.6640625" customWidth="1"/>
    <col min="2" max="2" width="13.33203125" customWidth="1"/>
    <col min="3" max="3" width="13.88671875" bestFit="1" customWidth="1"/>
    <col min="4" max="4" width="11.33203125" customWidth="1"/>
    <col min="5" max="5" width="16" customWidth="1"/>
    <col min="6" max="6" width="27.109375" customWidth="1"/>
    <col min="7" max="7" width="14.33203125" customWidth="1"/>
    <col min="8" max="8" width="13.5546875" customWidth="1"/>
    <col min="9" max="9" width="14.33203125" customWidth="1"/>
    <col min="10" max="10" width="14" style="34" customWidth="1"/>
    <col min="11" max="11" width="15.5546875" style="34" customWidth="1"/>
    <col min="12" max="12" width="16.33203125" style="34" customWidth="1"/>
    <col min="13" max="13" width="41.33203125" customWidth="1"/>
    <col min="14" max="14" width="13.33203125" customWidth="1"/>
    <col min="15" max="15" width="8.88671875" bestFit="1" customWidth="1"/>
    <col min="16" max="16" width="19.109375" customWidth="1"/>
    <col min="17" max="19" width="14.5546875" customWidth="1"/>
    <col min="20" max="20" width="12.109375" customWidth="1"/>
    <col min="22" max="23" width="17.88671875" customWidth="1"/>
    <col min="24" max="24" width="14.33203125" customWidth="1"/>
    <col min="25" max="25" width="18.88671875" bestFit="1" customWidth="1"/>
    <col min="26" max="26" width="17.6640625" bestFit="1" customWidth="1"/>
  </cols>
  <sheetData>
    <row r="2" spans="5:16" x14ac:dyDescent="0.3">
      <c r="F2" s="47" t="s">
        <v>53</v>
      </c>
      <c r="G2" s="47"/>
      <c r="H2" s="47"/>
    </row>
    <row r="3" spans="5:16" x14ac:dyDescent="0.3">
      <c r="F3" s="47" t="s">
        <v>0</v>
      </c>
      <c r="G3" s="47" t="s">
        <v>54</v>
      </c>
      <c r="H3" s="47" t="s">
        <v>1</v>
      </c>
      <c r="I3" s="45"/>
      <c r="J3" s="45"/>
      <c r="K3" s="45"/>
      <c r="L3" s="11"/>
      <c r="M3" s="11"/>
      <c r="N3" s="45"/>
      <c r="O3" s="45"/>
    </row>
    <row r="4" spans="5:16" x14ac:dyDescent="0.3">
      <c r="F4" s="8" t="s">
        <v>66</v>
      </c>
      <c r="G4" s="92">
        <v>30</v>
      </c>
      <c r="H4" t="s">
        <v>67</v>
      </c>
    </row>
    <row r="5" spans="5:16" ht="16.95" customHeight="1" x14ac:dyDescent="0.3">
      <c r="F5" s="8" t="s">
        <v>5</v>
      </c>
      <c r="G5" s="36"/>
      <c r="H5" s="3"/>
      <c r="I5" s="3"/>
      <c r="J5" s="45"/>
      <c r="K5" s="45"/>
      <c r="L5" s="45"/>
      <c r="M5" s="3"/>
      <c r="N5" s="3"/>
    </row>
    <row r="6" spans="5:16" x14ac:dyDescent="0.3">
      <c r="F6" s="8" t="s">
        <v>49</v>
      </c>
      <c r="G6" s="43">
        <v>45870</v>
      </c>
    </row>
    <row r="7" spans="5:16" x14ac:dyDescent="0.3">
      <c r="F7" s="8" t="s">
        <v>15</v>
      </c>
      <c r="G7" s="44">
        <f>DAY(EOMONTH(G6,0))</f>
        <v>31</v>
      </c>
    </row>
    <row r="8" spans="5:16" x14ac:dyDescent="0.3">
      <c r="F8" s="8" t="s">
        <v>68</v>
      </c>
      <c r="G8" s="44">
        <f>G7*24</f>
        <v>744</v>
      </c>
    </row>
    <row r="9" spans="5:16" x14ac:dyDescent="0.3">
      <c r="F9" s="8" t="s">
        <v>69</v>
      </c>
      <c r="G9" s="98">
        <v>1.28</v>
      </c>
    </row>
    <row r="10" spans="5:16" x14ac:dyDescent="0.3">
      <c r="F10" s="8" t="s">
        <v>77</v>
      </c>
      <c r="G10" s="99">
        <f>$G$4 * (( $G$8 - $G$9 ) * MAX($I$22:$I$52)) / $G$8</f>
        <v>838.55483870967748</v>
      </c>
    </row>
    <row r="11" spans="5:16" x14ac:dyDescent="0.3">
      <c r="F11" s="8" t="s">
        <v>72</v>
      </c>
      <c r="G11" s="100">
        <f>$G$10 / (_xlfn.AGGREGATE(14,6,$I$22:$I$52,1) * $G$4)</f>
        <v>0.99827956989247324</v>
      </c>
    </row>
    <row r="12" spans="5:16" x14ac:dyDescent="0.3">
      <c r="P12" s="29"/>
    </row>
    <row r="13" spans="5:16" x14ac:dyDescent="0.3">
      <c r="F13" s="18" t="s">
        <v>20</v>
      </c>
      <c r="G13" s="18" t="s">
        <v>3</v>
      </c>
      <c r="H13" s="14"/>
    </row>
    <row r="14" spans="5:16" x14ac:dyDescent="0.3">
      <c r="F14" s="53" t="s">
        <v>22</v>
      </c>
      <c r="G14" s="37">
        <v>10</v>
      </c>
      <c r="J14"/>
      <c r="P14" s="2"/>
    </row>
    <row r="15" spans="5:16" x14ac:dyDescent="0.3">
      <c r="F15" s="3"/>
      <c r="G15" s="37"/>
      <c r="J15"/>
      <c r="P15" s="2"/>
    </row>
    <row r="16" spans="5:16" x14ac:dyDescent="0.3">
      <c r="E16" s="29" t="s">
        <v>73</v>
      </c>
      <c r="F16" s="29" t="s">
        <v>75</v>
      </c>
      <c r="G16" s="37">
        <f>G14+0.0001</f>
        <v>10.0001</v>
      </c>
      <c r="H16" s="37">
        <f>130%*G14</f>
        <v>13</v>
      </c>
      <c r="I16" s="58">
        <v>1.3</v>
      </c>
      <c r="J16"/>
      <c r="P16" s="2"/>
    </row>
    <row r="17" spans="1:19" x14ac:dyDescent="0.3">
      <c r="B17" s="54"/>
      <c r="E17" s="29" t="s">
        <v>73</v>
      </c>
      <c r="F17" s="29" t="s">
        <v>76</v>
      </c>
      <c r="G17" s="37">
        <f>H16+0.0001</f>
        <v>13.0001</v>
      </c>
      <c r="H17" s="37">
        <f>150%*G14</f>
        <v>15</v>
      </c>
      <c r="I17" s="58">
        <v>1.5</v>
      </c>
      <c r="J17" s="56"/>
      <c r="K17" s="53"/>
      <c r="L17" s="52"/>
      <c r="M17" s="57"/>
      <c r="P17" s="2"/>
    </row>
    <row r="18" spans="1:19" x14ac:dyDescent="0.3">
      <c r="B18" s="54"/>
      <c r="E18" s="29" t="s">
        <v>73</v>
      </c>
      <c r="F18" s="53" t="s">
        <v>82</v>
      </c>
      <c r="G18" s="37">
        <f>H17+0.0001</f>
        <v>15.0001</v>
      </c>
      <c r="H18" s="37"/>
      <c r="I18" s="59" t="s">
        <v>79</v>
      </c>
      <c r="K18" s="82" t="s">
        <v>97</v>
      </c>
      <c r="L18" s="83">
        <f>MAX(I22:I52)</f>
        <v>28</v>
      </c>
      <c r="P18" s="2"/>
    </row>
    <row r="19" spans="1:19" x14ac:dyDescent="0.3">
      <c r="A19" s="54"/>
      <c r="B19" s="54"/>
      <c r="C19" s="54"/>
      <c r="D19" s="30"/>
      <c r="K19" s="34" t="s">
        <v>98</v>
      </c>
      <c r="L19" s="84">
        <f>ROUND(('WB_LT Comm_Sample'!E5*'WB_LT Comm_Sample'!E17*'Addl MD Cal-Sample'!L18)/'WB_LT Comm_Sample'!E15,0)</f>
        <v>837</v>
      </c>
      <c r="M19" s="79" t="s">
        <v>104</v>
      </c>
      <c r="P19" s="9"/>
      <c r="Q19" s="10"/>
      <c r="R19" s="10"/>
      <c r="S19" s="10"/>
    </row>
    <row r="20" spans="1:19" x14ac:dyDescent="0.3">
      <c r="F20" s="49"/>
      <c r="G20" s="49"/>
      <c r="H20" s="49"/>
      <c r="I20" s="48" t="s">
        <v>31</v>
      </c>
      <c r="J20"/>
      <c r="K20"/>
      <c r="L20"/>
    </row>
    <row r="21" spans="1:19" ht="48" customHeight="1" x14ac:dyDescent="0.3">
      <c r="B21" s="46" t="s">
        <v>36</v>
      </c>
      <c r="C21" s="47" t="s">
        <v>63</v>
      </c>
      <c r="D21" s="47" t="s">
        <v>64</v>
      </c>
      <c r="E21" s="47" t="s">
        <v>65</v>
      </c>
      <c r="F21" s="34"/>
      <c r="G21" s="47" t="s">
        <v>70</v>
      </c>
      <c r="H21" s="47" t="s">
        <v>74</v>
      </c>
      <c r="I21" s="47" t="s">
        <v>71</v>
      </c>
      <c r="J21"/>
      <c r="K21" s="63" t="s">
        <v>83</v>
      </c>
      <c r="M21" s="34"/>
    </row>
    <row r="22" spans="1:19" x14ac:dyDescent="0.3">
      <c r="B22" s="15">
        <f>G6</f>
        <v>45870</v>
      </c>
      <c r="C22" s="32"/>
      <c r="D22" s="32"/>
      <c r="E22" s="32"/>
      <c r="F22" s="34"/>
      <c r="G22" s="64" t="str">
        <f>IF(AND(C22&gt;$G$14,C22=MAX(C22,D22,E22)),"Normal Time",
 IF(AND(D22&gt;$G$14,D22=MAX(C22,D22,E22)),"Peak Time",
 IF(AND(E22&gt;$G$14,E22=MAX(C22,D22,E22)),"Off-Peak Time","")))</f>
        <v/>
      </c>
      <c r="H22" s="32" t="str">
        <f>IF(G22="Off-Peak Time",
   IF(I22="","",
      IF(AND(I22&gt;=$G$16,I22&lt;=$H$16),$F$16,
      IF(AND(I22&gt;=$G$17,I22&lt;=$H$17),$F$17,
      IF(I22&gt;=$G$18,$F$18,"")))),
"")</f>
        <v/>
      </c>
      <c r="I22" s="32" t="str">
        <f t="shared" ref="I22:I52" si="0">IF(G22="Normal Time", IF(C22&gt;$G$14, C22, ""),
 IF(G22="Peak Time",   IF(D22&gt;$G$14, D22, ""),
 IF(G22="Off-Peak Time", IF(E22&gt;$G$14, E22, ""), "")))</f>
        <v/>
      </c>
      <c r="J22"/>
      <c r="K22" s="61" t="s">
        <v>57</v>
      </c>
      <c r="L22" s="61"/>
      <c r="M22" s="80">
        <f>IF(N22="","",0.2*(N22-G14)*G4)</f>
        <v>108</v>
      </c>
      <c r="N22" s="62" cm="1">
        <f t="array" ref="N22">IF($K$22&lt;&gt;"Normal Time","",
   _xlfn.LET(_xlpm.mx, IFERROR(_xlfn.AGGREGATE(14,6,$I$22:$I$52/($G$22:$G$52="Normal Time"),1),0),
       IF(_xlpm.mx&lt;=0,"",_xlpm.mx)
   )
)</f>
        <v>28</v>
      </c>
    </row>
    <row r="23" spans="1:19" x14ac:dyDescent="0.3">
      <c r="B23" s="15">
        <f>B22+1</f>
        <v>45871</v>
      </c>
      <c r="C23" s="32"/>
      <c r="D23" s="32"/>
      <c r="E23" s="32"/>
      <c r="F23" s="34"/>
      <c r="G23" s="64" t="str">
        <f t="shared" ref="G23:G52" si="1">IF(AND(C23&gt;$G$14,C23=MAX(C23,D23,E23)),"Normal Time",
 IF(AND(D23&gt;$G$14,D23=MAX(C23,D23,E23)),"Peak Time",
 IF(AND(E23&gt;$G$14,E23=MAX(C23,D23,E23)),"Off-Peak Time","")))</f>
        <v/>
      </c>
      <c r="H23" s="32" t="str">
        <f t="shared" ref="H23:H52" si="2">IF(G23="Off-Peak Time",
   IF(I23="","",
      IF(AND(I23&gt;=$G$16,I23&lt;=$H$16),$F$16,
      IF(AND(I23&gt;=$G$17,I23&lt;=$H$17),$F$17,
      IF(I23&gt;=$G$18,$F$18,"")))),
"")</f>
        <v/>
      </c>
      <c r="I23" s="32" t="str">
        <f t="shared" si="0"/>
        <v/>
      </c>
      <c r="J23"/>
      <c r="K23" s="61" t="s">
        <v>58</v>
      </c>
      <c r="L23" s="61"/>
      <c r="M23" s="80">
        <f>IF(N23="","",0.5*(N23-G14)*G4)</f>
        <v>60</v>
      </c>
      <c r="N23" s="62" cm="1">
        <f t="array" ref="N23">IF($K$23&lt;&gt;"Peak Time","",
   _xlfn.LET(_xlpm.mx, IFERROR(_xlfn.AGGREGATE(14,6,$I$22:$I$52/($G$22:$G$52="Peak Time"),1),0),
       IF(_xlpm.mx&lt;=0,"",_xlpm.mx)
   )
)</f>
        <v>14</v>
      </c>
    </row>
    <row r="24" spans="1:19" x14ac:dyDescent="0.3">
      <c r="B24" s="15">
        <f t="shared" ref="B24:B52" si="3">B23+1</f>
        <v>45872</v>
      </c>
      <c r="C24" s="32"/>
      <c r="D24" s="32"/>
      <c r="E24" s="32"/>
      <c r="F24" s="34"/>
      <c r="G24" s="64" t="str">
        <f t="shared" si="1"/>
        <v/>
      </c>
      <c r="H24" s="32" t="str">
        <f t="shared" si="2"/>
        <v/>
      </c>
      <c r="I24" s="32" t="str">
        <f t="shared" si="0"/>
        <v/>
      </c>
      <c r="J24"/>
      <c r="K24" s="61" t="s">
        <v>59</v>
      </c>
      <c r="L24" s="65" t="str">
        <f>IF(OR($K$24&lt;&gt;"Off-Peak Time",COUNTIF($G$22:$G$52,"Off-Peak Time")=0),"",
   IF($N$24&lt;=$G$14,"",
      IF($N$24&lt;=1.3*$G$14,"Case 3a",
         IF($N$24&lt;=1.5*$G$14,"Case 3b",
            IF($N$24&gt;1.5*$G$14,"Case 3c","")
         )
      )
   )
)</f>
        <v>Case 3c</v>
      </c>
      <c r="M24" s="80">
        <f>IF(N24="","",
   IF(L24="Case 3a",
      0.01*(N24-$G$14)*$G$4,
   IF(L24="Case 3b",
      (0.01*0.3*$G$14 + 0.1*(N24-1.3*$G$14))*$G$4,
   IF(L24="Case 3c",
      (0.01*0.3*$G$14 + 0.1*0.2*$G$14 + 0.2*(N24-1.5*$G$14))*$G$4,
   0))))</f>
        <v>36.9</v>
      </c>
      <c r="N24" s="62" cm="1">
        <f t="array" ref="N24">IF($K$24&lt;&gt;"Off-Peak Time","",
   _xlfn.LET(_xlpm.mx, IFERROR(_xlfn.AGGREGATE(14,6,$I$22:$I$52/($G$22:$G$52="Off-Peak Time"),1),0),
       IF(_xlpm.mx&lt;=0,"",_xlpm.mx)
   )
)</f>
        <v>20</v>
      </c>
    </row>
    <row r="25" spans="1:19" x14ac:dyDescent="0.3">
      <c r="B25" s="15">
        <f t="shared" si="3"/>
        <v>45873</v>
      </c>
      <c r="C25" s="32"/>
      <c r="D25" s="32"/>
      <c r="E25" s="32"/>
      <c r="F25" s="34"/>
      <c r="G25" s="64" t="str">
        <f t="shared" si="1"/>
        <v/>
      </c>
      <c r="H25" s="32" t="str">
        <f t="shared" si="2"/>
        <v/>
      </c>
      <c r="I25" s="32" t="str">
        <f t="shared" si="0"/>
        <v/>
      </c>
      <c r="J25"/>
    </row>
    <row r="26" spans="1:19" x14ac:dyDescent="0.3">
      <c r="B26" s="15">
        <f t="shared" si="3"/>
        <v>45874</v>
      </c>
      <c r="C26" s="32"/>
      <c r="D26" s="32"/>
      <c r="E26" s="32"/>
      <c r="F26" s="34"/>
      <c r="G26" s="64" t="str">
        <f t="shared" si="1"/>
        <v/>
      </c>
      <c r="H26" s="32" t="str">
        <f t="shared" si="2"/>
        <v/>
      </c>
      <c r="I26" s="32" t="str">
        <f t="shared" si="0"/>
        <v/>
      </c>
      <c r="J26"/>
    </row>
    <row r="27" spans="1:19" x14ac:dyDescent="0.3">
      <c r="B27" s="15">
        <f t="shared" si="3"/>
        <v>45875</v>
      </c>
      <c r="C27" s="32"/>
      <c r="D27" s="32"/>
      <c r="E27" s="32"/>
      <c r="F27" s="34"/>
      <c r="G27" s="64" t="str">
        <f t="shared" si="1"/>
        <v/>
      </c>
      <c r="H27" s="32" t="str">
        <f t="shared" si="2"/>
        <v/>
      </c>
      <c r="I27" s="32" t="str">
        <f t="shared" si="0"/>
        <v/>
      </c>
      <c r="J27"/>
      <c r="K27"/>
      <c r="L27" s="29" t="s">
        <v>80</v>
      </c>
      <c r="M27" s="81">
        <f>MAX(M22:M24)</f>
        <v>108</v>
      </c>
    </row>
    <row r="28" spans="1:19" x14ac:dyDescent="0.3">
      <c r="B28" s="15">
        <f t="shared" si="3"/>
        <v>45876</v>
      </c>
      <c r="C28" s="32"/>
      <c r="D28" s="32"/>
      <c r="E28" s="32"/>
      <c r="F28" s="34"/>
      <c r="G28" s="64" t="str">
        <f t="shared" si="1"/>
        <v/>
      </c>
      <c r="H28" s="32" t="str">
        <f t="shared" si="2"/>
        <v/>
      </c>
      <c r="I28" s="32" t="str">
        <f t="shared" si="0"/>
        <v/>
      </c>
      <c r="J28"/>
      <c r="K28"/>
      <c r="L28" t="s">
        <v>72</v>
      </c>
      <c r="M28" s="60">
        <f>G11</f>
        <v>0.99827956989247324</v>
      </c>
    </row>
    <row r="29" spans="1:19" x14ac:dyDescent="0.3">
      <c r="B29" s="15">
        <f t="shared" si="3"/>
        <v>45877</v>
      </c>
      <c r="C29" s="32"/>
      <c r="D29" s="32"/>
      <c r="E29" s="32"/>
      <c r="F29" s="34"/>
      <c r="G29" s="64" t="str">
        <f t="shared" si="1"/>
        <v/>
      </c>
      <c r="H29" s="32" t="str">
        <f t="shared" si="2"/>
        <v/>
      </c>
      <c r="I29" s="32" t="str">
        <f t="shared" si="0"/>
        <v/>
      </c>
      <c r="J29"/>
      <c r="K29"/>
      <c r="L29" s="29" t="s">
        <v>81</v>
      </c>
      <c r="M29" s="55">
        <f>M27*M28</f>
        <v>107.81419354838711</v>
      </c>
    </row>
    <row r="30" spans="1:19" x14ac:dyDescent="0.3">
      <c r="B30" s="15">
        <f t="shared" si="3"/>
        <v>45878</v>
      </c>
      <c r="C30" s="32"/>
      <c r="D30" s="32"/>
      <c r="E30" s="32"/>
      <c r="F30" s="34"/>
      <c r="G30" s="64" t="str">
        <f t="shared" si="1"/>
        <v/>
      </c>
      <c r="H30" s="32" t="str">
        <f t="shared" si="2"/>
        <v/>
      </c>
      <c r="I30" s="32" t="str">
        <f t="shared" si="0"/>
        <v/>
      </c>
      <c r="J30"/>
      <c r="K30"/>
      <c r="L30"/>
    </row>
    <row r="31" spans="1:19" x14ac:dyDescent="0.3">
      <c r="B31" s="15">
        <f t="shared" si="3"/>
        <v>45879</v>
      </c>
      <c r="C31" s="32"/>
      <c r="D31" s="32">
        <v>14</v>
      </c>
      <c r="E31" s="32"/>
      <c r="F31" s="34"/>
      <c r="G31" s="64" t="str">
        <f t="shared" si="1"/>
        <v>Peak Time</v>
      </c>
      <c r="H31" s="32" t="str">
        <f t="shared" si="2"/>
        <v/>
      </c>
      <c r="I31" s="32">
        <f t="shared" si="0"/>
        <v>14</v>
      </c>
      <c r="J31"/>
      <c r="K31"/>
      <c r="L31"/>
    </row>
    <row r="32" spans="1:19" x14ac:dyDescent="0.3">
      <c r="B32" s="15">
        <f t="shared" si="3"/>
        <v>45880</v>
      </c>
      <c r="C32" s="32"/>
      <c r="D32" s="32"/>
      <c r="E32" s="32"/>
      <c r="F32" s="34"/>
      <c r="G32" s="64" t="str">
        <f t="shared" si="1"/>
        <v/>
      </c>
      <c r="H32" s="32" t="str">
        <f t="shared" si="2"/>
        <v/>
      </c>
      <c r="I32" s="32" t="str">
        <f t="shared" si="0"/>
        <v/>
      </c>
      <c r="J32"/>
      <c r="K32"/>
      <c r="L32"/>
    </row>
    <row r="33" spans="2:12" x14ac:dyDescent="0.3">
      <c r="B33" s="15">
        <f t="shared" si="3"/>
        <v>45881</v>
      </c>
      <c r="C33" s="32"/>
      <c r="D33" s="32"/>
      <c r="E33" s="32">
        <v>20</v>
      </c>
      <c r="F33" s="34"/>
      <c r="G33" s="64" t="str">
        <f t="shared" si="1"/>
        <v>Off-Peak Time</v>
      </c>
      <c r="H33" s="32" t="str">
        <f t="shared" si="2"/>
        <v>Case 3c</v>
      </c>
      <c r="I33" s="32">
        <f t="shared" si="0"/>
        <v>20</v>
      </c>
      <c r="J33"/>
      <c r="K33"/>
      <c r="L33"/>
    </row>
    <row r="34" spans="2:12" x14ac:dyDescent="0.3">
      <c r="B34" s="15">
        <f t="shared" si="3"/>
        <v>45882</v>
      </c>
      <c r="C34" s="32">
        <v>28</v>
      </c>
      <c r="D34" s="32"/>
      <c r="E34" s="32"/>
      <c r="F34" s="34"/>
      <c r="G34" s="64" t="str">
        <f t="shared" si="1"/>
        <v>Normal Time</v>
      </c>
      <c r="H34" s="32" t="str">
        <f t="shared" si="2"/>
        <v/>
      </c>
      <c r="I34" s="32">
        <f t="shared" si="0"/>
        <v>28</v>
      </c>
      <c r="J34"/>
      <c r="K34"/>
      <c r="L34"/>
    </row>
    <row r="35" spans="2:12" x14ac:dyDescent="0.3">
      <c r="B35" s="15">
        <f t="shared" si="3"/>
        <v>45883</v>
      </c>
      <c r="C35" s="32"/>
      <c r="D35" s="32"/>
      <c r="E35" s="32"/>
      <c r="F35" s="34"/>
      <c r="G35" s="64" t="str">
        <f t="shared" si="1"/>
        <v/>
      </c>
      <c r="H35" s="32" t="str">
        <f t="shared" si="2"/>
        <v/>
      </c>
      <c r="I35" s="32" t="str">
        <f t="shared" si="0"/>
        <v/>
      </c>
      <c r="J35"/>
      <c r="K35"/>
      <c r="L35"/>
    </row>
    <row r="36" spans="2:12" x14ac:dyDescent="0.3">
      <c r="B36" s="15">
        <f t="shared" si="3"/>
        <v>45884</v>
      </c>
      <c r="C36" s="32"/>
      <c r="D36" s="32"/>
      <c r="E36" s="32"/>
      <c r="F36" s="34"/>
      <c r="G36" s="64" t="str">
        <f t="shared" si="1"/>
        <v/>
      </c>
      <c r="H36" s="32" t="str">
        <f t="shared" si="2"/>
        <v/>
      </c>
      <c r="I36" s="32" t="str">
        <f t="shared" si="0"/>
        <v/>
      </c>
      <c r="J36"/>
      <c r="K36"/>
      <c r="L36"/>
    </row>
    <row r="37" spans="2:12" x14ac:dyDescent="0.3">
      <c r="B37" s="15">
        <f t="shared" si="3"/>
        <v>45885</v>
      </c>
      <c r="C37" s="32"/>
      <c r="D37" s="32"/>
      <c r="E37" s="32"/>
      <c r="F37" s="34"/>
      <c r="G37" s="64" t="str">
        <f t="shared" si="1"/>
        <v/>
      </c>
      <c r="H37" s="32" t="str">
        <f t="shared" si="2"/>
        <v/>
      </c>
      <c r="I37" s="32" t="str">
        <f t="shared" si="0"/>
        <v/>
      </c>
      <c r="J37"/>
      <c r="K37"/>
      <c r="L37"/>
    </row>
    <row r="38" spans="2:12" x14ac:dyDescent="0.3">
      <c r="B38" s="15">
        <f t="shared" si="3"/>
        <v>45886</v>
      </c>
      <c r="C38" s="32"/>
      <c r="D38" s="32"/>
      <c r="E38" s="32"/>
      <c r="F38" s="34"/>
      <c r="G38" s="64" t="str">
        <f t="shared" si="1"/>
        <v/>
      </c>
      <c r="H38" s="32" t="str">
        <f t="shared" si="2"/>
        <v/>
      </c>
      <c r="I38" s="32" t="str">
        <f t="shared" si="0"/>
        <v/>
      </c>
      <c r="J38"/>
      <c r="K38"/>
      <c r="L38"/>
    </row>
    <row r="39" spans="2:12" x14ac:dyDescent="0.3">
      <c r="B39" s="15">
        <f t="shared" si="3"/>
        <v>45887</v>
      </c>
      <c r="C39" s="32"/>
      <c r="D39" s="32"/>
      <c r="E39" s="32"/>
      <c r="F39" s="34"/>
      <c r="G39" s="64" t="str">
        <f t="shared" si="1"/>
        <v/>
      </c>
      <c r="H39" s="32" t="str">
        <f t="shared" si="2"/>
        <v/>
      </c>
      <c r="I39" s="32" t="str">
        <f t="shared" si="0"/>
        <v/>
      </c>
      <c r="J39"/>
      <c r="K39"/>
      <c r="L39"/>
    </row>
    <row r="40" spans="2:12" x14ac:dyDescent="0.3">
      <c r="B40" s="15">
        <f t="shared" si="3"/>
        <v>45888</v>
      </c>
      <c r="C40" s="32"/>
      <c r="D40" s="32"/>
      <c r="E40" s="32"/>
      <c r="F40" s="34"/>
      <c r="G40" s="64" t="str">
        <f t="shared" si="1"/>
        <v/>
      </c>
      <c r="H40" s="32" t="str">
        <f t="shared" si="2"/>
        <v/>
      </c>
      <c r="I40" s="32" t="str">
        <f t="shared" si="0"/>
        <v/>
      </c>
      <c r="J40"/>
      <c r="K40"/>
      <c r="L40"/>
    </row>
    <row r="41" spans="2:12" x14ac:dyDescent="0.3">
      <c r="B41" s="15">
        <f t="shared" si="3"/>
        <v>45889</v>
      </c>
      <c r="C41" s="32"/>
      <c r="D41" s="32"/>
      <c r="E41" s="32"/>
      <c r="F41" s="34"/>
      <c r="G41" s="64" t="str">
        <f t="shared" si="1"/>
        <v/>
      </c>
      <c r="H41" s="32" t="str">
        <f t="shared" si="2"/>
        <v/>
      </c>
      <c r="I41" s="32" t="str">
        <f t="shared" si="0"/>
        <v/>
      </c>
      <c r="J41"/>
      <c r="K41"/>
      <c r="L41"/>
    </row>
    <row r="42" spans="2:12" x14ac:dyDescent="0.3">
      <c r="B42" s="15">
        <f t="shared" si="3"/>
        <v>45890</v>
      </c>
      <c r="C42" s="32"/>
      <c r="D42" s="32"/>
      <c r="E42" s="32"/>
      <c r="F42" s="34"/>
      <c r="G42" s="64" t="str">
        <f t="shared" si="1"/>
        <v/>
      </c>
      <c r="H42" s="32" t="str">
        <f t="shared" si="2"/>
        <v/>
      </c>
      <c r="I42" s="32" t="str">
        <f t="shared" si="0"/>
        <v/>
      </c>
      <c r="J42"/>
      <c r="K42"/>
      <c r="L42"/>
    </row>
    <row r="43" spans="2:12" x14ac:dyDescent="0.3">
      <c r="B43" s="15">
        <f t="shared" si="3"/>
        <v>45891</v>
      </c>
      <c r="C43" s="32"/>
      <c r="D43" s="32"/>
      <c r="E43" s="32"/>
      <c r="F43" s="34"/>
      <c r="G43" s="64" t="str">
        <f t="shared" si="1"/>
        <v/>
      </c>
      <c r="H43" s="32" t="str">
        <f t="shared" si="2"/>
        <v/>
      </c>
      <c r="I43" s="32" t="str">
        <f t="shared" si="0"/>
        <v/>
      </c>
      <c r="J43"/>
      <c r="K43"/>
      <c r="L43"/>
    </row>
    <row r="44" spans="2:12" x14ac:dyDescent="0.3">
      <c r="B44" s="15">
        <f t="shared" si="3"/>
        <v>45892</v>
      </c>
      <c r="C44" s="32"/>
      <c r="D44" s="32"/>
      <c r="E44" s="32"/>
      <c r="F44" s="34"/>
      <c r="G44" s="64" t="str">
        <f t="shared" si="1"/>
        <v/>
      </c>
      <c r="H44" s="32" t="str">
        <f t="shared" si="2"/>
        <v/>
      </c>
      <c r="I44" s="32" t="str">
        <f t="shared" si="0"/>
        <v/>
      </c>
      <c r="J44"/>
      <c r="K44"/>
      <c r="L44"/>
    </row>
    <row r="45" spans="2:12" x14ac:dyDescent="0.3">
      <c r="B45" s="15">
        <f t="shared" si="3"/>
        <v>45893</v>
      </c>
      <c r="C45" s="32"/>
      <c r="D45" s="32"/>
      <c r="E45" s="32"/>
      <c r="F45" s="34"/>
      <c r="G45" s="64" t="str">
        <f t="shared" si="1"/>
        <v/>
      </c>
      <c r="H45" s="32" t="str">
        <f t="shared" si="2"/>
        <v/>
      </c>
      <c r="I45" s="32" t="str">
        <f t="shared" si="0"/>
        <v/>
      </c>
      <c r="J45"/>
      <c r="K45"/>
      <c r="L45"/>
    </row>
    <row r="46" spans="2:12" x14ac:dyDescent="0.3">
      <c r="B46" s="15">
        <f t="shared" si="3"/>
        <v>45894</v>
      </c>
      <c r="C46" s="32"/>
      <c r="D46" s="32"/>
      <c r="E46" s="32"/>
      <c r="F46" s="34"/>
      <c r="G46" s="64" t="str">
        <f t="shared" si="1"/>
        <v/>
      </c>
      <c r="H46" s="32" t="str">
        <f t="shared" si="2"/>
        <v/>
      </c>
      <c r="I46" s="32" t="str">
        <f t="shared" si="0"/>
        <v/>
      </c>
      <c r="J46"/>
      <c r="K46"/>
      <c r="L46"/>
    </row>
    <row r="47" spans="2:12" x14ac:dyDescent="0.3">
      <c r="B47" s="15">
        <f t="shared" si="3"/>
        <v>45895</v>
      </c>
      <c r="C47" s="32"/>
      <c r="D47" s="32"/>
      <c r="E47" s="32"/>
      <c r="F47" s="34"/>
      <c r="G47" s="64" t="str">
        <f t="shared" si="1"/>
        <v/>
      </c>
      <c r="H47" s="32" t="str">
        <f t="shared" si="2"/>
        <v/>
      </c>
      <c r="I47" s="32" t="str">
        <f t="shared" si="0"/>
        <v/>
      </c>
      <c r="J47"/>
      <c r="K47"/>
      <c r="L47"/>
    </row>
    <row r="48" spans="2:12" x14ac:dyDescent="0.3">
      <c r="B48" s="15">
        <f t="shared" si="3"/>
        <v>45896</v>
      </c>
      <c r="C48" s="32"/>
      <c r="D48" s="32"/>
      <c r="E48" s="32"/>
      <c r="F48" s="34"/>
      <c r="G48" s="64" t="str">
        <f t="shared" si="1"/>
        <v/>
      </c>
      <c r="H48" s="32" t="str">
        <f t="shared" si="2"/>
        <v/>
      </c>
      <c r="I48" s="32" t="str">
        <f t="shared" si="0"/>
        <v/>
      </c>
      <c r="J48"/>
      <c r="K48"/>
      <c r="L48"/>
    </row>
    <row r="49" spans="2:16" x14ac:dyDescent="0.3">
      <c r="B49" s="15">
        <f t="shared" si="3"/>
        <v>45897</v>
      </c>
      <c r="C49" s="32"/>
      <c r="D49" s="32"/>
      <c r="E49" s="32"/>
      <c r="F49" s="34"/>
      <c r="G49" s="64" t="str">
        <f t="shared" si="1"/>
        <v/>
      </c>
      <c r="H49" s="32" t="str">
        <f t="shared" si="2"/>
        <v/>
      </c>
      <c r="I49" s="32" t="str">
        <f t="shared" si="0"/>
        <v/>
      </c>
      <c r="J49"/>
      <c r="K49"/>
      <c r="L49"/>
    </row>
    <row r="50" spans="2:16" x14ac:dyDescent="0.3">
      <c r="B50" s="15">
        <f t="shared" si="3"/>
        <v>45898</v>
      </c>
      <c r="C50" s="32"/>
      <c r="D50" s="32"/>
      <c r="E50" s="32"/>
      <c r="F50" s="34"/>
      <c r="G50" s="64" t="str">
        <f t="shared" si="1"/>
        <v/>
      </c>
      <c r="H50" s="32" t="str">
        <f t="shared" si="2"/>
        <v/>
      </c>
      <c r="I50" s="32" t="str">
        <f t="shared" si="0"/>
        <v/>
      </c>
      <c r="J50"/>
      <c r="K50"/>
      <c r="L50"/>
    </row>
    <row r="51" spans="2:16" x14ac:dyDescent="0.3">
      <c r="B51" s="15">
        <f t="shared" si="3"/>
        <v>45899</v>
      </c>
      <c r="C51" s="32"/>
      <c r="D51" s="32"/>
      <c r="E51" s="32"/>
      <c r="F51" s="34"/>
      <c r="G51" s="64" t="str">
        <f t="shared" si="1"/>
        <v/>
      </c>
      <c r="H51" s="32" t="str">
        <f t="shared" si="2"/>
        <v/>
      </c>
      <c r="I51" s="32" t="str">
        <f t="shared" si="0"/>
        <v/>
      </c>
      <c r="J51"/>
      <c r="K51"/>
      <c r="L51"/>
      <c r="P51" s="51"/>
    </row>
    <row r="52" spans="2:16" x14ac:dyDescent="0.3">
      <c r="B52" s="15">
        <f t="shared" si="3"/>
        <v>45900</v>
      </c>
      <c r="C52" s="32"/>
      <c r="D52" s="32"/>
      <c r="E52" s="32"/>
      <c r="F52" s="34"/>
      <c r="G52" s="64" t="str">
        <f t="shared" si="1"/>
        <v/>
      </c>
      <c r="H52" s="32" t="str">
        <f t="shared" si="2"/>
        <v/>
      </c>
      <c r="I52" s="32" t="str">
        <f t="shared" si="0"/>
        <v/>
      </c>
      <c r="J52"/>
      <c r="K52"/>
      <c r="L52"/>
      <c r="P52" s="51"/>
    </row>
    <row r="53" spans="2:16" x14ac:dyDescent="0.3">
      <c r="F53" s="34"/>
      <c r="G53" s="34"/>
      <c r="H53" s="34"/>
      <c r="I53" s="34"/>
      <c r="J53"/>
      <c r="K53"/>
      <c r="L53"/>
    </row>
    <row r="54" spans="2:16" x14ac:dyDescent="0.3">
      <c r="F54" s="34"/>
      <c r="G54" s="34"/>
      <c r="H54" s="34"/>
      <c r="I54" s="34"/>
      <c r="J54"/>
      <c r="K54"/>
      <c r="L54"/>
      <c r="M54" s="55"/>
      <c r="N54" s="55"/>
      <c r="O54" s="55"/>
    </row>
    <row r="55" spans="2:16" x14ac:dyDescent="0.3">
      <c r="F55" s="34"/>
      <c r="G55" s="34"/>
      <c r="H55" s="34"/>
      <c r="I55" s="34"/>
      <c r="J55"/>
      <c r="K55"/>
      <c r="L55"/>
    </row>
    <row r="56" spans="2:16" x14ac:dyDescent="0.3">
      <c r="F56" s="34"/>
      <c r="G56" s="34"/>
      <c r="H56" s="34"/>
      <c r="I56" s="34"/>
      <c r="J56"/>
      <c r="K56"/>
      <c r="L56"/>
    </row>
    <row r="57" spans="2:16" x14ac:dyDescent="0.3">
      <c r="F57" s="34"/>
      <c r="G57" s="34"/>
      <c r="H57" s="34"/>
      <c r="I57" s="34"/>
    </row>
    <row r="58" spans="2:16" x14ac:dyDescent="0.3">
      <c r="F58" s="34"/>
      <c r="G58" s="34"/>
      <c r="H58" s="34"/>
      <c r="I58" s="34"/>
    </row>
    <row r="59" spans="2:16" x14ac:dyDescent="0.3">
      <c r="F59" s="34"/>
      <c r="G59" s="34"/>
      <c r="H59" s="34"/>
      <c r="I59" s="34"/>
    </row>
    <row r="60" spans="2:16" x14ac:dyDescent="0.3">
      <c r="F60" s="34"/>
      <c r="G60" s="34"/>
      <c r="H60" s="34"/>
      <c r="I60" s="34"/>
      <c r="J60"/>
      <c r="K60"/>
      <c r="L60"/>
    </row>
    <row r="61" spans="2:16" x14ac:dyDescent="0.3">
      <c r="F61" s="34"/>
      <c r="G61" s="34"/>
      <c r="H61" s="34"/>
      <c r="I61" s="34"/>
      <c r="J61"/>
      <c r="K61"/>
      <c r="L6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9D0F-49F4-4499-ADE6-9FD5807FA06F}">
  <sheetPr>
    <tabColor rgb="FF0070C0"/>
  </sheetPr>
  <dimension ref="B1:N31"/>
  <sheetViews>
    <sheetView showGridLines="0" workbookViewId="0">
      <selection activeCell="F34" sqref="F34"/>
    </sheetView>
  </sheetViews>
  <sheetFormatPr defaultRowHeight="14.4" x14ac:dyDescent="0.3"/>
  <cols>
    <col min="2" max="2" width="18" customWidth="1"/>
    <col min="3" max="3" width="16.44140625" bestFit="1" customWidth="1"/>
    <col min="4" max="4" width="13.33203125" customWidth="1"/>
    <col min="5" max="5" width="20" customWidth="1"/>
    <col min="8" max="8" width="11.33203125" customWidth="1"/>
    <col min="9" max="9" width="22.5546875" customWidth="1"/>
    <col min="10" max="10" width="13.5546875" customWidth="1"/>
    <col min="11" max="11" width="12.88671875" customWidth="1"/>
    <col min="12" max="12" width="15" customWidth="1"/>
    <col min="13" max="13" width="6.6640625" customWidth="1"/>
    <col min="14" max="14" width="10.6640625" customWidth="1"/>
  </cols>
  <sheetData>
    <row r="1" spans="2:14" x14ac:dyDescent="0.3">
      <c r="G1" s="21" t="s">
        <v>91</v>
      </c>
      <c r="H1" s="66">
        <v>45870</v>
      </c>
    </row>
    <row r="2" spans="2:14" x14ac:dyDescent="0.3">
      <c r="J2" s="69" t="s">
        <v>50</v>
      </c>
      <c r="K2" s="69" t="s">
        <v>51</v>
      </c>
      <c r="L2" s="69" t="s">
        <v>52</v>
      </c>
      <c r="M2" s="69"/>
    </row>
    <row r="3" spans="2:14" x14ac:dyDescent="0.3">
      <c r="J3" s="69" t="s">
        <v>57</v>
      </c>
      <c r="K3" s="69" t="s">
        <v>58</v>
      </c>
      <c r="L3" s="69" t="s">
        <v>59</v>
      </c>
      <c r="M3" s="69"/>
    </row>
    <row r="4" spans="2:14" x14ac:dyDescent="0.3">
      <c r="I4" s="28"/>
      <c r="J4" s="67">
        <v>0.25</v>
      </c>
      <c r="K4" s="67">
        <v>0.72916666666666663</v>
      </c>
      <c r="L4" s="67">
        <v>0.97916666666666663</v>
      </c>
      <c r="M4" s="67"/>
    </row>
    <row r="5" spans="2:14" x14ac:dyDescent="0.3">
      <c r="J5" s="68">
        <v>0.70833333333333337</v>
      </c>
      <c r="K5" s="68">
        <v>0.95833333333333337</v>
      </c>
      <c r="L5" s="68">
        <v>0.22916666666666666</v>
      </c>
      <c r="M5" s="68"/>
    </row>
    <row r="6" spans="2:14" x14ac:dyDescent="0.3">
      <c r="I6" t="s">
        <v>89</v>
      </c>
      <c r="J6" s="5">
        <f>EOMONTH(H1,-1)+1</f>
        <v>45870</v>
      </c>
      <c r="K6" s="5">
        <f>EOMONTH(H1,-1)+1</f>
        <v>45870</v>
      </c>
      <c r="L6" s="5">
        <f>EOMONTH(H1,-1)+1</f>
        <v>45870</v>
      </c>
      <c r="M6" s="5"/>
    </row>
    <row r="7" spans="2:14" x14ac:dyDescent="0.3">
      <c r="I7" t="s">
        <v>90</v>
      </c>
      <c r="J7" s="5">
        <f>EOMONTH(H1,0)</f>
        <v>45900</v>
      </c>
      <c r="K7" s="5">
        <f>EOMONTH(H1,0)</f>
        <v>45900</v>
      </c>
      <c r="L7" s="5">
        <f>EOMONTH(H1,0)</f>
        <v>45900</v>
      </c>
      <c r="M7" s="5"/>
    </row>
    <row r="8" spans="2:14" x14ac:dyDescent="0.3">
      <c r="I8" s="29" t="s">
        <v>87</v>
      </c>
      <c r="J8">
        <v>100</v>
      </c>
      <c r="K8">
        <v>200</v>
      </c>
      <c r="L8">
        <v>100</v>
      </c>
    </row>
    <row r="9" spans="2:14" x14ac:dyDescent="0.3">
      <c r="I9" s="29" t="s">
        <v>88</v>
      </c>
      <c r="J9">
        <v>400</v>
      </c>
      <c r="K9">
        <v>600</v>
      </c>
      <c r="L9">
        <v>600</v>
      </c>
    </row>
    <row r="10" spans="2:14" x14ac:dyDescent="0.3">
      <c r="B10" s="1"/>
      <c r="C10" s="1"/>
      <c r="D10" s="1"/>
      <c r="E10" s="70"/>
      <c r="I10" s="71"/>
      <c r="J10" s="23"/>
      <c r="K10" s="23"/>
      <c r="L10" s="23"/>
      <c r="M10" s="23"/>
      <c r="N10" s="23"/>
    </row>
    <row r="11" spans="2:14" x14ac:dyDescent="0.3">
      <c r="I11" s="2" t="s">
        <v>92</v>
      </c>
      <c r="J11">
        <f>J9-J8</f>
        <v>300</v>
      </c>
      <c r="K11">
        <f>K9-K8</f>
        <v>400</v>
      </c>
      <c r="L11">
        <f>L9-L8</f>
        <v>500</v>
      </c>
      <c r="N11" s="2">
        <f>SUM(J11:M11)</f>
        <v>1200</v>
      </c>
    </row>
    <row r="13" spans="2:14" x14ac:dyDescent="0.3">
      <c r="I13" s="21" t="s">
        <v>40</v>
      </c>
      <c r="J13" s="86">
        <f>J11*'WB_LT Comm_Sample'!E7</f>
        <v>1998</v>
      </c>
      <c r="K13" s="86">
        <f>K11*'WB_LT Comm_Sample'!E8</f>
        <v>2936</v>
      </c>
      <c r="L13" s="86">
        <f>L11*'WB_LT Comm_Sample'!E9</f>
        <v>2795</v>
      </c>
      <c r="M13" s="86"/>
      <c r="N13" s="87">
        <f>SUM(J13:M13)</f>
        <v>7729</v>
      </c>
    </row>
    <row r="14" spans="2:14" x14ac:dyDescent="0.3">
      <c r="I14" s="21"/>
      <c r="J14" s="51"/>
      <c r="K14" s="51"/>
      <c r="M14" s="51"/>
    </row>
    <row r="15" spans="2:14" x14ac:dyDescent="0.3">
      <c r="I15" s="21"/>
      <c r="J15" s="51"/>
      <c r="K15" s="51"/>
      <c r="M15" s="51"/>
    </row>
    <row r="17" spans="3:12" x14ac:dyDescent="0.3">
      <c r="I17" t="s">
        <v>40</v>
      </c>
      <c r="J17" s="85">
        <f>N13</f>
        <v>7729</v>
      </c>
    </row>
    <row r="18" spans="3:12" x14ac:dyDescent="0.3">
      <c r="I18" t="s">
        <v>98</v>
      </c>
      <c r="J18" s="85">
        <f>'Addl MD Cal-Sample'!L19</f>
        <v>837</v>
      </c>
    </row>
    <row r="19" spans="3:12" x14ac:dyDescent="0.3">
      <c r="I19" t="s">
        <v>84</v>
      </c>
      <c r="J19" s="13">
        <f>'Addl MD Cal-Sample'!M29</f>
        <v>107.81419354838711</v>
      </c>
    </row>
    <row r="20" spans="3:12" x14ac:dyDescent="0.3">
      <c r="I20" t="s">
        <v>41</v>
      </c>
      <c r="J20" s="85">
        <f>'WB_LT Comm_Sample'!O27</f>
        <v>48.50259999999998</v>
      </c>
    </row>
    <row r="21" spans="3:12" x14ac:dyDescent="0.3">
      <c r="I21" t="s">
        <v>42</v>
      </c>
      <c r="J21" s="85">
        <f>'WB_LT Comm_Sample'!P27</f>
        <v>5.0002999999999957</v>
      </c>
    </row>
    <row r="22" spans="3:12" x14ac:dyDescent="0.3">
      <c r="I22" s="23"/>
      <c r="J22" s="23"/>
    </row>
    <row r="23" spans="3:12" x14ac:dyDescent="0.3">
      <c r="I23" t="s">
        <v>86</v>
      </c>
      <c r="J23" s="87">
        <f>SUM(J17:J22)</f>
        <v>8727.3170935483868</v>
      </c>
    </row>
    <row r="25" spans="3:12" x14ac:dyDescent="0.3">
      <c r="C25" s="8" t="s">
        <v>14</v>
      </c>
    </row>
    <row r="26" spans="3:12" x14ac:dyDescent="0.3">
      <c r="C26" s="18" t="s">
        <v>16</v>
      </c>
      <c r="D26" s="18" t="s">
        <v>17</v>
      </c>
      <c r="E26" s="18" t="s">
        <v>18</v>
      </c>
      <c r="F26" s="18" t="s">
        <v>19</v>
      </c>
      <c r="I26" s="2" t="s">
        <v>99</v>
      </c>
    </row>
    <row r="27" spans="3:12" x14ac:dyDescent="0.3">
      <c r="C27" s="25">
        <v>1</v>
      </c>
      <c r="D27" s="25">
        <v>0</v>
      </c>
      <c r="E27" s="25">
        <v>150</v>
      </c>
      <c r="F27" s="26">
        <f>$P$9</f>
        <v>0</v>
      </c>
      <c r="I27" t="s">
        <v>100</v>
      </c>
      <c r="J27" s="54">
        <f>MIN(N11,150)</f>
        <v>150</v>
      </c>
      <c r="K27" s="85">
        <f>ROUND($J$23*J27/$N$11*F27,0)</f>
        <v>0</v>
      </c>
    </row>
    <row r="28" spans="3:12" x14ac:dyDescent="0.3">
      <c r="C28" s="25">
        <v>2</v>
      </c>
      <c r="D28" s="25">
        <v>151</v>
      </c>
      <c r="E28" s="25">
        <v>500</v>
      </c>
      <c r="F28" s="26">
        <v>0.1</v>
      </c>
      <c r="I28" t="s">
        <v>100</v>
      </c>
      <c r="J28" s="54">
        <f>MIN(350,(N11-J27))</f>
        <v>350</v>
      </c>
      <c r="K28" s="85">
        <f>ROUND($J$23*J28/$N$11*F28,0)</f>
        <v>255</v>
      </c>
    </row>
    <row r="29" spans="3:12" x14ac:dyDescent="0.3">
      <c r="C29" s="25">
        <v>3</v>
      </c>
      <c r="D29" s="25">
        <v>501</v>
      </c>
      <c r="E29" s="25">
        <v>1000</v>
      </c>
      <c r="F29" s="27">
        <v>0.125</v>
      </c>
      <c r="I29" t="s">
        <v>100</v>
      </c>
      <c r="J29" s="54">
        <f>MIN(500,(N11-J27-J28))</f>
        <v>500</v>
      </c>
      <c r="K29" s="85">
        <f>ROUND($J$23*J29/$N$11*F29,0)</f>
        <v>455</v>
      </c>
    </row>
    <row r="30" spans="3:12" x14ac:dyDescent="0.3">
      <c r="C30" s="25">
        <v>4</v>
      </c>
      <c r="D30" s="25">
        <v>1001</v>
      </c>
      <c r="E30" s="25" t="s">
        <v>21</v>
      </c>
      <c r="F30" s="26">
        <v>0.15</v>
      </c>
      <c r="I30" s="23" t="s">
        <v>100</v>
      </c>
      <c r="J30" s="88">
        <f>MAX(0,N11-J27-J28-J29)</f>
        <v>200</v>
      </c>
      <c r="K30" s="90">
        <f>ROUND($J$23*J30/$N$11*F30,0)</f>
        <v>218</v>
      </c>
    </row>
    <row r="31" spans="3:12" x14ac:dyDescent="0.3">
      <c r="J31" s="89">
        <f>SUM(J27:J30)</f>
        <v>1200</v>
      </c>
      <c r="K31" s="86">
        <f>SUM(K27:K30)</f>
        <v>928</v>
      </c>
      <c r="L31" s="5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82821-aae6-4082-a5ba-ea6cec871eae">
      <Terms xmlns="http://schemas.microsoft.com/office/infopath/2007/PartnerControls"/>
    </lcf76f155ced4ddcb4097134ff3c332f>
    <TaxCatchAll xmlns="8ae689fd-2d0a-4368-81dd-a81ec3a4c1c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9DECD7A7FC114684EE8459FBE95C46" ma:contentTypeVersion="11" ma:contentTypeDescription="Create a new document." ma:contentTypeScope="" ma:versionID="1d54900b6250314b6ca1928107e1e097">
  <xsd:schema xmlns:xsd="http://www.w3.org/2001/XMLSchema" xmlns:xs="http://www.w3.org/2001/XMLSchema" xmlns:p="http://schemas.microsoft.com/office/2006/metadata/properties" xmlns:ns2="f7782821-aae6-4082-a5ba-ea6cec871eae" xmlns:ns3="8ae689fd-2d0a-4368-81dd-a81ec3a4c1cb" targetNamespace="http://schemas.microsoft.com/office/2006/metadata/properties" ma:root="true" ma:fieldsID="90f563c9498c1415a0ecb9517f538d29" ns2:_="" ns3:_="">
    <xsd:import namespace="f7782821-aae6-4082-a5ba-ea6cec871eae"/>
    <xsd:import namespace="8ae689fd-2d0a-4368-81dd-a81ec3a4c1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82821-aae6-4082-a5ba-ea6cec871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e41db77-5a46-4ec8-9a67-3b6920aaaa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689fd-2d0a-4368-81dd-a81ec3a4c1c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eb29526-4ec3-4ba7-bac6-f0b9b5f4f976}" ma:internalName="TaxCatchAll" ma:showField="CatchAllData" ma:web="8ae689fd-2d0a-4368-81dd-a81ec3a4c1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1C695-8CE7-427D-806E-55BDFBC79DD1}">
  <ds:schemaRefs>
    <ds:schemaRef ds:uri="http://schemas.microsoft.com/office/2006/metadata/properties"/>
    <ds:schemaRef ds:uri="http://schemas.microsoft.com/office/infopath/2007/PartnerControls"/>
    <ds:schemaRef ds:uri="f7782821-aae6-4082-a5ba-ea6cec871eae"/>
    <ds:schemaRef ds:uri="8ae689fd-2d0a-4368-81dd-a81ec3a4c1cb"/>
  </ds:schemaRefs>
</ds:datastoreItem>
</file>

<file path=customXml/itemProps2.xml><?xml version="1.0" encoding="utf-8"?>
<ds:datastoreItem xmlns:ds="http://schemas.openxmlformats.org/officeDocument/2006/customXml" ds:itemID="{225BDEBB-EC5F-4272-9192-54C1651D3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C80168-D9B7-4EE2-946C-DD7F17F138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WB_LT Comm_Sample</vt:lpstr>
      <vt:lpstr>Addl MD Cal-Sample</vt:lpstr>
      <vt:lpstr>ED Cal_Sample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Manish Gakhar</dc:creator>
  <cp:keywords/>
  <dc:description/>
  <cp:lastModifiedBy>Pradeep Narayana</cp:lastModifiedBy>
  <cp:revision/>
  <dcterms:created xsi:type="dcterms:W3CDTF">2025-05-26T11:57:17Z</dcterms:created>
  <dcterms:modified xsi:type="dcterms:W3CDTF">2026-01-12T12:11:11Z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2025-05-27T12:27:29Z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cf94827a-bc3d-4b63-8feb-432960d2d81b</vt:lpwstr>
  </property>
  <property fmtid="{D5CDD505-2E9C-101B-9397-08002B2CF9AE}" pid="7" name="MSIP_Label_defa4170-0d19-0005-0004-bc88714345d2_ActionId">
    <vt:lpwstr>9c0b308f-cae6-409e-84ee-0a4eb7384134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0x010100289DECD7A7FC114684EE8459FBE95C46</vt:lpwstr>
  </property>
  <property fmtid="{D5CDD505-2E9C-101B-9397-08002B2CF9AE}" pid="11" name="MediaServiceImageTags">
    <vt:lpwstr/>
  </property>
</Properties>
</file>