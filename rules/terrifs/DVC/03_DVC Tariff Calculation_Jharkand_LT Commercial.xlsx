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uculusindia.sharepoint.com/sites/C003CCIDamodarValleyCorporation/Shared Documents/General/DVC_Tariiff_Calculation/"/>
    </mc:Choice>
  </mc:AlternateContent>
  <xr:revisionPtr revIDLastSave="49" documentId="8_{04FAE7BC-5614-4425-AF35-C99FFC5F8112}" xr6:coauthVersionLast="47" xr6:coauthVersionMax="47" xr10:uidLastSave="{CCFE788D-3AF6-4342-A175-924B06857167}"/>
  <bookViews>
    <workbookView xWindow="28680" yWindow="-120" windowWidth="29040" windowHeight="15720" activeTab="2" xr2:uid="{D0898F0C-93A7-4719-B0FB-F5FD596946B3}"/>
  </bookViews>
  <sheets>
    <sheet name="Scenario 1" sheetId="4" r:id="rId1"/>
    <sheet name="Scenario 2" sheetId="13" r:id="rId2"/>
    <sheet name="Scenario 3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4" l="1"/>
  <c r="F46" i="13"/>
  <c r="F36" i="13"/>
  <c r="M29" i="14" l="1"/>
  <c r="M30" i="14"/>
  <c r="M31" i="14"/>
  <c r="M32" i="14"/>
  <c r="N32" i="14" s="1"/>
  <c r="M33" i="14"/>
  <c r="M34" i="14"/>
  <c r="M35" i="14"/>
  <c r="M36" i="14"/>
  <c r="M37" i="14"/>
  <c r="M38" i="14"/>
  <c r="M39" i="14"/>
  <c r="M40" i="14"/>
  <c r="M41" i="14"/>
  <c r="M42" i="14"/>
  <c r="M43" i="14"/>
  <c r="M44" i="14"/>
  <c r="N44" i="14" s="1"/>
  <c r="M45" i="14"/>
  <c r="M46" i="14"/>
  <c r="M47" i="14"/>
  <c r="M48" i="14"/>
  <c r="M49" i="14"/>
  <c r="M50" i="14"/>
  <c r="M51" i="14"/>
  <c r="M52" i="14"/>
  <c r="M53" i="14"/>
  <c r="M54" i="14"/>
  <c r="M55" i="14"/>
  <c r="M56" i="14"/>
  <c r="N56" i="14" s="1"/>
  <c r="M57" i="14"/>
  <c r="M58" i="14"/>
  <c r="M28" i="14"/>
  <c r="M29" i="13"/>
  <c r="M30" i="13"/>
  <c r="N30" i="13" s="1"/>
  <c r="M31" i="13"/>
  <c r="M32" i="13"/>
  <c r="M33" i="13"/>
  <c r="M34" i="13"/>
  <c r="M35" i="13"/>
  <c r="M36" i="13"/>
  <c r="M37" i="13"/>
  <c r="M38" i="13"/>
  <c r="N38" i="13" s="1"/>
  <c r="M39" i="13"/>
  <c r="M40" i="13"/>
  <c r="M41" i="13"/>
  <c r="M42" i="13"/>
  <c r="N42" i="13" s="1"/>
  <c r="M43" i="13"/>
  <c r="M44" i="13"/>
  <c r="M45" i="13"/>
  <c r="M46" i="13"/>
  <c r="M47" i="13"/>
  <c r="M48" i="13"/>
  <c r="M49" i="13"/>
  <c r="M50" i="13"/>
  <c r="N50" i="13" s="1"/>
  <c r="M51" i="13"/>
  <c r="M52" i="13"/>
  <c r="M53" i="13"/>
  <c r="M54" i="13"/>
  <c r="N54" i="13" s="1"/>
  <c r="M55" i="13"/>
  <c r="M56" i="13"/>
  <c r="M57" i="13"/>
  <c r="M58" i="13"/>
  <c r="M28" i="13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28" i="4"/>
  <c r="L58" i="14"/>
  <c r="O58" i="14" s="1"/>
  <c r="O57" i="14"/>
  <c r="L57" i="14"/>
  <c r="O56" i="14"/>
  <c r="L56" i="14"/>
  <c r="L55" i="14"/>
  <c r="O55" i="14" s="1"/>
  <c r="L54" i="14"/>
  <c r="O54" i="14" s="1"/>
  <c r="L53" i="14"/>
  <c r="O53" i="14" s="1"/>
  <c r="L52" i="14"/>
  <c r="O52" i="14" s="1"/>
  <c r="O51" i="14"/>
  <c r="L51" i="14"/>
  <c r="O50" i="14"/>
  <c r="N50" i="14"/>
  <c r="L50" i="14"/>
  <c r="L49" i="14"/>
  <c r="N49" i="14" s="1"/>
  <c r="L48" i="14"/>
  <c r="O48" i="14" s="1"/>
  <c r="L47" i="14"/>
  <c r="O47" i="14" s="1"/>
  <c r="L46" i="14"/>
  <c r="O46" i="14" s="1"/>
  <c r="O45" i="14"/>
  <c r="L45" i="14"/>
  <c r="N45" i="14" s="1"/>
  <c r="O44" i="14"/>
  <c r="L44" i="14"/>
  <c r="L43" i="14"/>
  <c r="O43" i="14" s="1"/>
  <c r="L42" i="14"/>
  <c r="O42" i="14" s="1"/>
  <c r="L41" i="14"/>
  <c r="O41" i="14" s="1"/>
  <c r="L40" i="14"/>
  <c r="O40" i="14" s="1"/>
  <c r="O39" i="14"/>
  <c r="L39" i="14"/>
  <c r="N39" i="14" s="1"/>
  <c r="O38" i="14"/>
  <c r="N38" i="14"/>
  <c r="L38" i="14"/>
  <c r="L37" i="14"/>
  <c r="N37" i="14" s="1"/>
  <c r="L36" i="14"/>
  <c r="O36" i="14" s="1"/>
  <c r="L35" i="14"/>
  <c r="O35" i="14" s="1"/>
  <c r="L34" i="14"/>
  <c r="O34" i="14" s="1"/>
  <c r="O33" i="14"/>
  <c r="L33" i="14"/>
  <c r="O32" i="14"/>
  <c r="L32" i="14"/>
  <c r="L31" i="14"/>
  <c r="O31" i="14" s="1"/>
  <c r="L30" i="14"/>
  <c r="N30" i="14" s="1"/>
  <c r="L29" i="14"/>
  <c r="O29" i="14" s="1"/>
  <c r="C29" i="14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L28" i="14"/>
  <c r="O28" i="14" s="1"/>
  <c r="C28" i="14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C19" i="14"/>
  <c r="D19" i="14" s="1"/>
  <c r="D18" i="14"/>
  <c r="C17" i="14"/>
  <c r="D17" i="14" s="1"/>
  <c r="C14" i="14"/>
  <c r="L58" i="13"/>
  <c r="O58" i="13" s="1"/>
  <c r="O57" i="13"/>
  <c r="L57" i="13"/>
  <c r="N57" i="13" s="1"/>
  <c r="O56" i="13"/>
  <c r="N56" i="13"/>
  <c r="L56" i="13"/>
  <c r="L55" i="13"/>
  <c r="O55" i="13" s="1"/>
  <c r="O54" i="13"/>
  <c r="L54" i="13"/>
  <c r="L53" i="13"/>
  <c r="N53" i="13" s="1"/>
  <c r="O52" i="13"/>
  <c r="L52" i="13"/>
  <c r="O51" i="13"/>
  <c r="L51" i="13"/>
  <c r="O50" i="13"/>
  <c r="L50" i="13"/>
  <c r="L49" i="13"/>
  <c r="O49" i="13" s="1"/>
  <c r="O48" i="13"/>
  <c r="N48" i="13"/>
  <c r="L48" i="13"/>
  <c r="L47" i="13"/>
  <c r="N47" i="13" s="1"/>
  <c r="O46" i="13"/>
  <c r="L46" i="13"/>
  <c r="O45" i="13"/>
  <c r="L45" i="13"/>
  <c r="N45" i="13" s="1"/>
  <c r="O44" i="13"/>
  <c r="N44" i="13"/>
  <c r="L44" i="13"/>
  <c r="L43" i="13"/>
  <c r="O43" i="13" s="1"/>
  <c r="O42" i="13"/>
  <c r="L42" i="13"/>
  <c r="L41" i="13"/>
  <c r="N41" i="13" s="1"/>
  <c r="O40" i="13"/>
  <c r="L40" i="13"/>
  <c r="O39" i="13"/>
  <c r="L39" i="13"/>
  <c r="O38" i="13"/>
  <c r="L38" i="13"/>
  <c r="L37" i="13"/>
  <c r="O37" i="13" s="1"/>
  <c r="N36" i="13"/>
  <c r="L36" i="13"/>
  <c r="O36" i="13" s="1"/>
  <c r="L35" i="13"/>
  <c r="N35" i="13" s="1"/>
  <c r="O34" i="13"/>
  <c r="L34" i="13"/>
  <c r="O33" i="13"/>
  <c r="L33" i="13"/>
  <c r="N33" i="13" s="1"/>
  <c r="O32" i="13"/>
  <c r="N32" i="13"/>
  <c r="L32" i="13"/>
  <c r="L31" i="13"/>
  <c r="O31" i="13" s="1"/>
  <c r="L30" i="13"/>
  <c r="O30" i="13" s="1"/>
  <c r="L29" i="13"/>
  <c r="C29" i="13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O28" i="13"/>
  <c r="L28" i="13"/>
  <c r="L62" i="13" s="1"/>
  <c r="J28" i="13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C28" i="13"/>
  <c r="C19" i="13"/>
  <c r="D19" i="13" s="1"/>
  <c r="D18" i="13"/>
  <c r="C17" i="13"/>
  <c r="D17" i="13" s="1"/>
  <c r="C14" i="13"/>
  <c r="E18" i="4"/>
  <c r="M58" i="4"/>
  <c r="O58" i="4" s="1"/>
  <c r="D28" i="4"/>
  <c r="D14" i="4"/>
  <c r="P58" i="4" l="1"/>
  <c r="N33" i="14"/>
  <c r="N57" i="14"/>
  <c r="N51" i="14"/>
  <c r="L63" i="14"/>
  <c r="N29" i="13"/>
  <c r="L63" i="13"/>
  <c r="N51" i="13"/>
  <c r="N39" i="13"/>
  <c r="N40" i="13"/>
  <c r="N46" i="13"/>
  <c r="N52" i="13"/>
  <c r="N34" i="13"/>
  <c r="P55" i="14"/>
  <c r="P39" i="14"/>
  <c r="P33" i="14"/>
  <c r="P58" i="14"/>
  <c r="P52" i="14"/>
  <c r="P46" i="14"/>
  <c r="P40" i="14"/>
  <c r="P34" i="14"/>
  <c r="P28" i="14"/>
  <c r="P54" i="14"/>
  <c r="P30" i="14"/>
  <c r="P50" i="14"/>
  <c r="P32" i="14"/>
  <c r="P57" i="14"/>
  <c r="P51" i="14"/>
  <c r="P49" i="14"/>
  <c r="P43" i="14"/>
  <c r="P37" i="14"/>
  <c r="P31" i="14"/>
  <c r="P38" i="14"/>
  <c r="P53" i="14"/>
  <c r="P47" i="14"/>
  <c r="P41" i="14"/>
  <c r="P35" i="14"/>
  <c r="P29" i="14"/>
  <c r="P48" i="14"/>
  <c r="P42" i="14"/>
  <c r="P36" i="14"/>
  <c r="P56" i="14"/>
  <c r="P44" i="14"/>
  <c r="P45" i="14"/>
  <c r="L65" i="14"/>
  <c r="H28" i="14"/>
  <c r="K28" i="14" s="1"/>
  <c r="H30" i="14"/>
  <c r="K30" i="14" s="1"/>
  <c r="H54" i="14"/>
  <c r="K54" i="14" s="1"/>
  <c r="H42" i="14"/>
  <c r="K42" i="14" s="1"/>
  <c r="H44" i="14"/>
  <c r="K44" i="14" s="1"/>
  <c r="H39" i="14"/>
  <c r="K39" i="14" s="1"/>
  <c r="H52" i="14"/>
  <c r="K52" i="14" s="1"/>
  <c r="H40" i="14"/>
  <c r="K40" i="14" s="1"/>
  <c r="H53" i="14"/>
  <c r="K53" i="14" s="1"/>
  <c r="H47" i="14"/>
  <c r="K47" i="14" s="1"/>
  <c r="H41" i="14"/>
  <c r="K41" i="14" s="1"/>
  <c r="H35" i="14"/>
  <c r="K35" i="14" s="1"/>
  <c r="H29" i="14"/>
  <c r="K29" i="14" s="1"/>
  <c r="H48" i="14"/>
  <c r="K48" i="14" s="1"/>
  <c r="H55" i="14"/>
  <c r="K55" i="14" s="1"/>
  <c r="H49" i="14"/>
  <c r="K49" i="14" s="1"/>
  <c r="H43" i="14"/>
  <c r="K43" i="14" s="1"/>
  <c r="H37" i="14"/>
  <c r="K37" i="14" s="1"/>
  <c r="H31" i="14"/>
  <c r="K31" i="14" s="1"/>
  <c r="H56" i="14"/>
  <c r="K56" i="14" s="1"/>
  <c r="H50" i="14"/>
  <c r="K50" i="14" s="1"/>
  <c r="H38" i="14"/>
  <c r="K38" i="14" s="1"/>
  <c r="H51" i="14"/>
  <c r="K51" i="14" s="1"/>
  <c r="H45" i="14"/>
  <c r="K45" i="14" s="1"/>
  <c r="H33" i="14"/>
  <c r="K33" i="14" s="1"/>
  <c r="H34" i="14"/>
  <c r="K34" i="14" s="1"/>
  <c r="H36" i="14"/>
  <c r="K36" i="14" s="1"/>
  <c r="H32" i="14"/>
  <c r="K32" i="14" s="1"/>
  <c r="H57" i="14"/>
  <c r="K57" i="14" s="1"/>
  <c r="H58" i="14"/>
  <c r="K58" i="14" s="1"/>
  <c r="H46" i="14"/>
  <c r="K46" i="14" s="1"/>
  <c r="N31" i="14"/>
  <c r="O49" i="14"/>
  <c r="N36" i="14"/>
  <c r="N42" i="14"/>
  <c r="N48" i="14"/>
  <c r="N54" i="14"/>
  <c r="O30" i="14"/>
  <c r="N29" i="14"/>
  <c r="N35" i="14"/>
  <c r="N41" i="14"/>
  <c r="N47" i="14"/>
  <c r="N53" i="14"/>
  <c r="N28" i="14"/>
  <c r="N34" i="14"/>
  <c r="N40" i="14"/>
  <c r="N46" i="14"/>
  <c r="N52" i="14"/>
  <c r="N58" i="14"/>
  <c r="N43" i="14"/>
  <c r="O37" i="14"/>
  <c r="N55" i="14"/>
  <c r="L62" i="14"/>
  <c r="H57" i="13"/>
  <c r="K57" i="13" s="1"/>
  <c r="H51" i="13"/>
  <c r="K51" i="13" s="1"/>
  <c r="H39" i="13"/>
  <c r="K39" i="13" s="1"/>
  <c r="H33" i="13"/>
  <c r="K33" i="13" s="1"/>
  <c r="H58" i="13"/>
  <c r="K58" i="13" s="1"/>
  <c r="H52" i="13"/>
  <c r="K52" i="13" s="1"/>
  <c r="H46" i="13"/>
  <c r="K46" i="13" s="1"/>
  <c r="H40" i="13"/>
  <c r="K40" i="13" s="1"/>
  <c r="H34" i="13"/>
  <c r="K34" i="13" s="1"/>
  <c r="H28" i="13"/>
  <c r="K28" i="13" s="1"/>
  <c r="H53" i="13"/>
  <c r="K53" i="13" s="1"/>
  <c r="H47" i="13"/>
  <c r="K47" i="13" s="1"/>
  <c r="H41" i="13"/>
  <c r="K41" i="13" s="1"/>
  <c r="H35" i="13"/>
  <c r="K35" i="13" s="1"/>
  <c r="H29" i="13"/>
  <c r="K29" i="13" s="1"/>
  <c r="H54" i="13"/>
  <c r="K54" i="13" s="1"/>
  <c r="H48" i="13"/>
  <c r="K48" i="13" s="1"/>
  <c r="H42" i="13"/>
  <c r="K42" i="13" s="1"/>
  <c r="H36" i="13"/>
  <c r="K36" i="13" s="1"/>
  <c r="H30" i="13"/>
  <c r="K30" i="13" s="1"/>
  <c r="H44" i="13"/>
  <c r="K44" i="13" s="1"/>
  <c r="H56" i="13"/>
  <c r="K56" i="13" s="1"/>
  <c r="H45" i="13"/>
  <c r="K45" i="13" s="1"/>
  <c r="H55" i="13"/>
  <c r="K55" i="13" s="1"/>
  <c r="H49" i="13"/>
  <c r="K49" i="13" s="1"/>
  <c r="H43" i="13"/>
  <c r="K43" i="13" s="1"/>
  <c r="H37" i="13"/>
  <c r="K37" i="13" s="1"/>
  <c r="H31" i="13"/>
  <c r="K31" i="13" s="1"/>
  <c r="H50" i="13"/>
  <c r="K50" i="13" s="1"/>
  <c r="H38" i="13"/>
  <c r="K38" i="13" s="1"/>
  <c r="H32" i="13"/>
  <c r="K32" i="13" s="1"/>
  <c r="P54" i="13"/>
  <c r="P48" i="13"/>
  <c r="P42" i="13"/>
  <c r="P36" i="13"/>
  <c r="P30" i="13"/>
  <c r="P43" i="13"/>
  <c r="P55" i="13"/>
  <c r="P56" i="13"/>
  <c r="P50" i="13"/>
  <c r="P44" i="13"/>
  <c r="P38" i="13"/>
  <c r="P32" i="13"/>
  <c r="P57" i="13"/>
  <c r="P51" i="13"/>
  <c r="P45" i="13"/>
  <c r="P39" i="13"/>
  <c r="P33" i="13"/>
  <c r="P58" i="13"/>
  <c r="P52" i="13"/>
  <c r="P46" i="13"/>
  <c r="P40" i="13"/>
  <c r="P34" i="13"/>
  <c r="P28" i="13"/>
  <c r="P49" i="13"/>
  <c r="P37" i="13"/>
  <c r="P31" i="13"/>
  <c r="P53" i="13"/>
  <c r="P47" i="13"/>
  <c r="P41" i="13"/>
  <c r="P35" i="13"/>
  <c r="P29" i="13"/>
  <c r="N28" i="13"/>
  <c r="N58" i="13"/>
  <c r="O41" i="13"/>
  <c r="O53" i="13"/>
  <c r="O29" i="13"/>
  <c r="O35" i="13"/>
  <c r="O47" i="13"/>
  <c r="N31" i="13"/>
  <c r="N37" i="13"/>
  <c r="N43" i="13"/>
  <c r="N49" i="13"/>
  <c r="N55" i="13"/>
  <c r="L64" i="14" l="1"/>
  <c r="L61" i="14"/>
  <c r="Q28" i="14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Q39" i="14" s="1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L66" i="14"/>
  <c r="L66" i="13"/>
  <c r="L61" i="13"/>
  <c r="Q28" i="13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L64" i="13"/>
  <c r="L65" i="13"/>
  <c r="L67" i="14" l="1"/>
  <c r="L67" i="13"/>
  <c r="K28" i="4" l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M57" i="4"/>
  <c r="M56" i="4"/>
  <c r="P56" i="4" s="1"/>
  <c r="M55" i="4"/>
  <c r="P55" i="4" s="1"/>
  <c r="M54" i="4"/>
  <c r="P54" i="4" s="1"/>
  <c r="M53" i="4"/>
  <c r="P53" i="4" s="1"/>
  <c r="M52" i="4"/>
  <c r="O52" i="4" s="1"/>
  <c r="M51" i="4"/>
  <c r="P51" i="4" s="1"/>
  <c r="M50" i="4"/>
  <c r="P50" i="4" s="1"/>
  <c r="M49" i="4"/>
  <c r="M48" i="4"/>
  <c r="M47" i="4"/>
  <c r="M46" i="4"/>
  <c r="P46" i="4" s="1"/>
  <c r="M45" i="4"/>
  <c r="P45" i="4" s="1"/>
  <c r="M44" i="4"/>
  <c r="M43" i="4"/>
  <c r="P43" i="4" s="1"/>
  <c r="M42" i="4"/>
  <c r="P42" i="4" s="1"/>
  <c r="M41" i="4"/>
  <c r="P41" i="4" s="1"/>
  <c r="M40" i="4"/>
  <c r="O40" i="4" s="1"/>
  <c r="M39" i="4"/>
  <c r="M38" i="4"/>
  <c r="M37" i="4"/>
  <c r="M36" i="4"/>
  <c r="M35" i="4"/>
  <c r="P35" i="4" s="1"/>
  <c r="M34" i="4"/>
  <c r="M33" i="4"/>
  <c r="P33" i="4" s="1"/>
  <c r="M32" i="4"/>
  <c r="P32" i="4" s="1"/>
  <c r="M31" i="4"/>
  <c r="P31" i="4" s="1"/>
  <c r="M30" i="4"/>
  <c r="P30" i="4" s="1"/>
  <c r="M29" i="4"/>
  <c r="P29" i="4" s="1"/>
  <c r="M28" i="4"/>
  <c r="O28" i="4" s="1"/>
  <c r="D29" i="4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19" i="4"/>
  <c r="E19" i="4" s="1"/>
  <c r="Q58" i="4" s="1"/>
  <c r="D17" i="4"/>
  <c r="E17" i="4" s="1"/>
  <c r="I58" i="4" l="1"/>
  <c r="L58" i="4" s="1"/>
  <c r="I28" i="4"/>
  <c r="L28" i="4" s="1"/>
  <c r="I40" i="4"/>
  <c r="L40" i="4" s="1"/>
  <c r="I52" i="4"/>
  <c r="L52" i="4" s="1"/>
  <c r="I29" i="4"/>
  <c r="L29" i="4" s="1"/>
  <c r="I41" i="4"/>
  <c r="L41" i="4" s="1"/>
  <c r="I53" i="4"/>
  <c r="L53" i="4" s="1"/>
  <c r="I54" i="4"/>
  <c r="L54" i="4" s="1"/>
  <c r="I30" i="4"/>
  <c r="L30" i="4" s="1"/>
  <c r="I42" i="4"/>
  <c r="L42" i="4" s="1"/>
  <c r="I31" i="4"/>
  <c r="L31" i="4" s="1"/>
  <c r="I43" i="4"/>
  <c r="L43" i="4" s="1"/>
  <c r="I55" i="4"/>
  <c r="L55" i="4" s="1"/>
  <c r="I44" i="4"/>
  <c r="L44" i="4" s="1"/>
  <c r="I57" i="4"/>
  <c r="L57" i="4" s="1"/>
  <c r="I50" i="4"/>
  <c r="L50" i="4" s="1"/>
  <c r="I32" i="4"/>
  <c r="L32" i="4" s="1"/>
  <c r="I56" i="4"/>
  <c r="L56" i="4" s="1"/>
  <c r="I39" i="4"/>
  <c r="L39" i="4" s="1"/>
  <c r="I33" i="4"/>
  <c r="L33" i="4" s="1"/>
  <c r="I45" i="4"/>
  <c r="L45" i="4" s="1"/>
  <c r="I49" i="4"/>
  <c r="L49" i="4" s="1"/>
  <c r="I34" i="4"/>
  <c r="L34" i="4" s="1"/>
  <c r="I46" i="4"/>
  <c r="L46" i="4" s="1"/>
  <c r="I47" i="4"/>
  <c r="L47" i="4" s="1"/>
  <c r="I35" i="4"/>
  <c r="L35" i="4" s="1"/>
  <c r="I36" i="4"/>
  <c r="L36" i="4" s="1"/>
  <c r="I48" i="4"/>
  <c r="L48" i="4" s="1"/>
  <c r="I37" i="4"/>
  <c r="L37" i="4" s="1"/>
  <c r="I51" i="4"/>
  <c r="L51" i="4" s="1"/>
  <c r="I38" i="4"/>
  <c r="L38" i="4" s="1"/>
  <c r="O47" i="4"/>
  <c r="O39" i="4"/>
  <c r="O44" i="4"/>
  <c r="O37" i="4"/>
  <c r="O49" i="4"/>
  <c r="O57" i="4"/>
  <c r="O48" i="4"/>
  <c r="O43" i="4"/>
  <c r="O32" i="4"/>
  <c r="O56" i="4"/>
  <c r="O45" i="4"/>
  <c r="O31" i="4"/>
  <c r="O33" i="4"/>
  <c r="P44" i="4"/>
  <c r="O46" i="4"/>
  <c r="M63" i="4"/>
  <c r="P57" i="4"/>
  <c r="O38" i="4"/>
  <c r="O34" i="4"/>
  <c r="O55" i="4"/>
  <c r="O36" i="4"/>
  <c r="M62" i="4"/>
  <c r="O35" i="4"/>
  <c r="Q53" i="4"/>
  <c r="P37" i="4"/>
  <c r="P49" i="4"/>
  <c r="O50" i="4"/>
  <c r="P38" i="4"/>
  <c r="O51" i="4"/>
  <c r="P39" i="4"/>
  <c r="P28" i="4"/>
  <c r="O29" i="4"/>
  <c r="P40" i="4"/>
  <c r="O41" i="4"/>
  <c r="P52" i="4"/>
  <c r="O53" i="4"/>
  <c r="P34" i="4"/>
  <c r="P36" i="4"/>
  <c r="P48" i="4"/>
  <c r="O30" i="4"/>
  <c r="O42" i="4"/>
  <c r="O54" i="4"/>
  <c r="P47" i="4"/>
  <c r="Q40" i="4" l="1"/>
  <c r="M64" i="4"/>
  <c r="Q52" i="4"/>
  <c r="Q56" i="4"/>
  <c r="M65" i="4"/>
  <c r="Q41" i="4"/>
  <c r="Q28" i="4"/>
  <c r="R28" i="4" s="1"/>
  <c r="Q39" i="4"/>
  <c r="Q29" i="4"/>
  <c r="Q51" i="4"/>
  <c r="Q42" i="4"/>
  <c r="M61" i="4"/>
  <c r="Q44" i="4"/>
  <c r="Q30" i="4"/>
  <c r="Q38" i="4"/>
  <c r="Q34" i="4"/>
  <c r="Q45" i="4"/>
  <c r="Q32" i="4"/>
  <c r="Q55" i="4"/>
  <c r="Q49" i="4"/>
  <c r="Q37" i="4"/>
  <c r="Q36" i="4"/>
  <c r="Q47" i="4"/>
  <c r="Q35" i="4"/>
  <c r="Q43" i="4"/>
  <c r="Q31" i="4"/>
  <c r="Q50" i="4"/>
  <c r="Q48" i="4"/>
  <c r="Q46" i="4"/>
  <c r="Q57" i="4"/>
  <c r="Q33" i="4"/>
  <c r="Q54" i="4"/>
  <c r="R28" i="14" l="1"/>
  <c r="R28" i="13"/>
  <c r="R29" i="4"/>
  <c r="M66" i="4"/>
  <c r="M67" i="4" s="1"/>
  <c r="R30" i="4" l="1"/>
  <c r="R29" i="14"/>
  <c r="R29" i="13"/>
  <c r="R31" i="4" l="1"/>
  <c r="R30" i="14"/>
  <c r="R30" i="13"/>
  <c r="R32" i="4" l="1"/>
  <c r="R31" i="13"/>
  <c r="R31" i="14"/>
  <c r="R33" i="4" l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32" i="13"/>
  <c r="R32" i="14"/>
</calcChain>
</file>

<file path=xl/sharedStrings.xml><?xml version="1.0" encoding="utf-8"?>
<sst xmlns="http://schemas.openxmlformats.org/spreadsheetml/2006/main" count="186" uniqueCount="61">
  <si>
    <t>Scenario 1:</t>
  </si>
  <si>
    <t>Actual Daily Consumption of kW is less than 50% of Contract Demand</t>
  </si>
  <si>
    <t xml:space="preserve">Sample Calculation </t>
  </si>
  <si>
    <t>Heads</t>
  </si>
  <si>
    <t>Value</t>
  </si>
  <si>
    <t>Details</t>
  </si>
  <si>
    <t>Santioned</t>
  </si>
  <si>
    <t>KVA</t>
  </si>
  <si>
    <t>Fixed charges</t>
  </si>
  <si>
    <t>Rs/ kW on unit consumption with a condition if CD exceeds 50% of CD  or MD whichever is higher per month, then all days caculation will be on max value</t>
  </si>
  <si>
    <t xml:space="preserve">Energy charges </t>
  </si>
  <si>
    <t>Rs/ kWh on unit consumption</t>
  </si>
  <si>
    <t>FPPAS ( Fuel &amp; Power Production Adjustment Surcharge)</t>
  </si>
  <si>
    <t>DVC would provide by end of every month and this would be forward calculation for next month</t>
  </si>
  <si>
    <t>Rebate</t>
  </si>
  <si>
    <t>% on Energy Charge</t>
  </si>
  <si>
    <t>ED ( Energy Duty)</t>
  </si>
  <si>
    <t>%age  flat on [(EC +FPPAS) ]</t>
  </si>
  <si>
    <t>Penalty</t>
  </si>
  <si>
    <t>110% of Contract Demand</t>
  </si>
  <si>
    <t>Month</t>
  </si>
  <si>
    <t>No. of Days</t>
  </si>
  <si>
    <t>Variables</t>
  </si>
  <si>
    <t>kVA</t>
  </si>
  <si>
    <t>kW</t>
  </si>
  <si>
    <t>50% of Contract Demand</t>
  </si>
  <si>
    <t>Contract Demand</t>
  </si>
  <si>
    <t>110% of Contract  Demand</t>
  </si>
  <si>
    <t>Sample Daily Consumption Data for June'25</t>
  </si>
  <si>
    <t>No. of Hrs</t>
  </si>
  <si>
    <t xml:space="preserve"> Daily charge Calculation </t>
  </si>
  <si>
    <t>Power Factor</t>
  </si>
  <si>
    <t>Fixed Charges in Rs</t>
  </si>
  <si>
    <t>Energy Charge in Rs</t>
  </si>
  <si>
    <t xml:space="preserve">FPPAS  Charges  </t>
  </si>
  <si>
    <t>Energy Duty</t>
  </si>
  <si>
    <t>Opening Balance</t>
  </si>
  <si>
    <t>Daily Profile</t>
  </si>
  <si>
    <t>Instantenous Profile</t>
  </si>
  <si>
    <t>Contract  Demand in kW</t>
  </si>
  <si>
    <t>Formula</t>
  </si>
  <si>
    <t>=kW x (Fixed Charge per kW/ No of calender days)</t>
  </si>
  <si>
    <t>=kwh x Energy Charges</t>
  </si>
  <si>
    <t>=kwh x FPPAS Charge</t>
  </si>
  <si>
    <t>=ED % x  (Energy Charge+FPPAS Charge)</t>
  </si>
  <si>
    <t>=Rebate% x Energy Charge</t>
  </si>
  <si>
    <t>=if (kw&gt;=110% of Contract Demand , 1.5  x Energy Charges x (Maximum Demand - Contract Demand)</t>
  </si>
  <si>
    <t xml:space="preserve"> July (kWh)
Sample</t>
  </si>
  <si>
    <t>Date</t>
  </si>
  <si>
    <t xml:space="preserve"> (kWh)
Sample</t>
  </si>
  <si>
    <t xml:space="preserve"> (kW)
Sample</t>
  </si>
  <si>
    <t>Calculation
(kW)</t>
  </si>
  <si>
    <t>Fixed Charges</t>
  </si>
  <si>
    <t>Energy Charges</t>
  </si>
  <si>
    <t>FPPS</t>
  </si>
  <si>
    <t>ED</t>
  </si>
  <si>
    <t>Gross Bill</t>
  </si>
  <si>
    <t>Scenario 2:</t>
  </si>
  <si>
    <t>Actual Daily Consumption of kW is more than 50% of Contract Demand but less than 110% contract Demand</t>
  </si>
  <si>
    <t>Scenario 3:</t>
  </si>
  <si>
    <t xml:space="preserve">Actual Daily Consumption of kW is more than 110% Contract Demand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</si>
</sst>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0.0000"/>
    <numFmt numFmtId="166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top"/>
    </xf>
    <xf numFmtId="166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horizontal="center"/>
    </xf>
    <xf numFmtId="1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/>
    </xf>
    <xf numFmtId="43" fontId="0" fillId="0" borderId="0" xfId="1" applyFont="1"/>
    <xf numFmtId="43" fontId="1" fillId="0" borderId="0" xfId="1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5" fillId="5" borderId="0" xfId="0" applyFont="1" applyFill="1"/>
    <xf numFmtId="0" fontId="0" fillId="0" borderId="0" xfId="0" applyAlignment="1">
      <alignment horizontal="right" wrapText="1"/>
    </xf>
    <xf numFmtId="0" fontId="0" fillId="6" borderId="0" xfId="0" applyFill="1"/>
    <xf numFmtId="164" fontId="0" fillId="3" borderId="1" xfId="0" applyNumberFormat="1" applyFill="1" applyBorder="1" applyAlignment="1">
      <alignment horizontal="center"/>
    </xf>
    <xf numFmtId="43" fontId="0" fillId="0" borderId="2" xfId="1" applyFont="1" applyBorder="1"/>
    <xf numFmtId="2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vertical="top"/>
    </xf>
    <xf numFmtId="0" fontId="6" fillId="5" borderId="0" xfId="0" applyFont="1" applyFill="1" applyAlignment="1">
      <alignment vertical="top"/>
    </xf>
    <xf numFmtId="0" fontId="6" fillId="5" borderId="0" xfId="0" applyFont="1" applyFill="1"/>
    <xf numFmtId="9" fontId="0" fillId="6" borderId="0" xfId="0" applyNumberFormat="1" applyFill="1" applyAlignment="1">
      <alignment vertical="top"/>
    </xf>
    <xf numFmtId="165" fontId="0" fillId="6" borderId="0" xfId="0" applyNumberFormat="1" applyFill="1" applyAlignment="1">
      <alignment vertical="top"/>
    </xf>
    <xf numFmtId="0" fontId="5" fillId="5" borderId="0" xfId="0" applyFont="1" applyFill="1" applyAlignment="1">
      <alignment vertical="top"/>
    </xf>
    <xf numFmtId="0" fontId="0" fillId="5" borderId="0" xfId="0" applyFill="1"/>
    <xf numFmtId="0" fontId="0" fillId="0" borderId="0" xfId="0" applyAlignment="1">
      <alignment horizontal="center" wrapText="1"/>
    </xf>
    <xf numFmtId="0" fontId="1" fillId="4" borderId="2" xfId="0" quotePrefix="1" applyFont="1" applyFill="1" applyBorder="1" applyAlignment="1">
      <alignment horizontal="center" vertical="center" wrapText="1"/>
    </xf>
    <xf numFmtId="43" fontId="1" fillId="4" borderId="2" xfId="1" quotePrefix="1" applyFont="1" applyFill="1" applyBorder="1" applyAlignment="1">
      <alignment horizontal="center" vertical="center" wrapText="1"/>
    </xf>
    <xf numFmtId="0" fontId="0" fillId="0" borderId="0" xfId="0" quotePrefix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 vertical="center" wrapText="1"/>
    </xf>
    <xf numFmtId="17" fontId="2" fillId="6" borderId="0" xfId="3" applyNumberFormat="1" applyFont="1" applyFill="1" applyAlignment="1">
      <alignment horizontal="right" vertical="top"/>
    </xf>
    <xf numFmtId="0" fontId="0" fillId="6" borderId="0" xfId="0" applyFill="1" applyAlignment="1">
      <alignment horizontal="right" vertical="top"/>
    </xf>
    <xf numFmtId="43" fontId="0" fillId="6" borderId="0" xfId="1" applyFont="1" applyFill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43" fontId="0" fillId="0" borderId="0" xfId="0" applyNumberFormat="1"/>
    <xf numFmtId="0" fontId="5" fillId="5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/>
    </xf>
    <xf numFmtId="43" fontId="0" fillId="8" borderId="0" xfId="1" applyFont="1" applyFill="1"/>
  </cellXfs>
  <cellStyles count="4">
    <cellStyle name="Comma" xfId="1" builtinId="3"/>
    <cellStyle name="Comma 2" xfId="2" xr:uid="{9F86C863-CB92-4C3D-BAE9-9C7AF680AA5D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B3F1-A601-4B70-8C88-E22DF66FCF65}">
  <sheetPr>
    <tabColor rgb="FF0070C0"/>
  </sheetPr>
  <dimension ref="B1:T67"/>
  <sheetViews>
    <sheetView showGridLines="0" topLeftCell="C1" zoomScaleNormal="100" workbookViewId="0">
      <selection activeCell="E17" sqref="E17"/>
    </sheetView>
  </sheetViews>
  <sheetFormatPr defaultRowHeight="14.4" x14ac:dyDescent="0.3"/>
  <cols>
    <col min="2" max="2" width="13.44140625" customWidth="1"/>
    <col min="3" max="3" width="44.109375" customWidth="1"/>
    <col min="4" max="4" width="13.6640625" customWidth="1"/>
    <col min="5" max="5" width="13.33203125" customWidth="1"/>
    <col min="6" max="6" width="14.44140625" customWidth="1"/>
    <col min="7" max="7" width="14" customWidth="1"/>
    <col min="8" max="8" width="11" bestFit="1" customWidth="1"/>
    <col min="9" max="9" width="12.109375" customWidth="1"/>
    <col min="10" max="10" width="13.44140625" customWidth="1"/>
    <col min="11" max="11" width="12.5546875" customWidth="1"/>
    <col min="12" max="12" width="19.5546875" customWidth="1"/>
    <col min="13" max="13" width="13.6640625" customWidth="1"/>
    <col min="14" max="14" width="11.6640625" customWidth="1"/>
    <col min="15" max="15" width="11.33203125" customWidth="1"/>
    <col min="16" max="16" width="11.6640625" customWidth="1"/>
    <col min="17" max="17" width="39" customWidth="1"/>
    <col min="18" max="18" width="11.88671875" customWidth="1"/>
    <col min="19" max="19" width="13.5546875" customWidth="1"/>
    <col min="21" max="21" width="12.109375" customWidth="1"/>
    <col min="23" max="24" width="17.88671875" customWidth="1"/>
    <col min="25" max="25" width="14.33203125" customWidth="1"/>
    <col min="26" max="26" width="18.88671875" bestFit="1" customWidth="1"/>
    <col min="27" max="27" width="17.6640625" bestFit="1" customWidth="1"/>
  </cols>
  <sheetData>
    <row r="1" spans="2:20" x14ac:dyDescent="0.3">
      <c r="B1" s="50" t="s">
        <v>0</v>
      </c>
      <c r="C1" s="25" t="s">
        <v>1</v>
      </c>
      <c r="D1" s="25"/>
      <c r="E1" s="25"/>
      <c r="F1" s="25"/>
      <c r="G1" s="37"/>
      <c r="H1" s="37"/>
    </row>
    <row r="4" spans="2:20" x14ac:dyDescent="0.3">
      <c r="C4" s="36" t="s">
        <v>2</v>
      </c>
      <c r="D4" s="25"/>
    </row>
    <row r="5" spans="2:20" x14ac:dyDescent="0.3">
      <c r="C5" s="49" t="s">
        <v>3</v>
      </c>
      <c r="D5" s="49" t="s">
        <v>4</v>
      </c>
      <c r="E5" s="49" t="s">
        <v>5</v>
      </c>
      <c r="F5" s="49"/>
      <c r="G5" s="49"/>
      <c r="H5" s="49"/>
    </row>
    <row r="6" spans="2:20" x14ac:dyDescent="0.3">
      <c r="C6" s="6" t="s">
        <v>6</v>
      </c>
      <c r="D6" s="12">
        <v>10</v>
      </c>
      <c r="E6" s="11" t="s">
        <v>7</v>
      </c>
      <c r="F6" s="11"/>
      <c r="G6" s="11"/>
      <c r="H6" s="11"/>
    </row>
    <row r="7" spans="2:20" ht="15" customHeight="1" x14ac:dyDescent="0.3">
      <c r="C7" s="8" t="s">
        <v>8</v>
      </c>
      <c r="D7" s="31">
        <v>150</v>
      </c>
      <c r="E7" s="4" t="s">
        <v>9</v>
      </c>
      <c r="F7" s="3"/>
      <c r="G7" s="3"/>
      <c r="H7" s="3"/>
      <c r="T7" s="1"/>
    </row>
    <row r="8" spans="2:20" x14ac:dyDescent="0.3">
      <c r="C8" s="8" t="s">
        <v>10</v>
      </c>
      <c r="D8" s="31">
        <v>4.3</v>
      </c>
      <c r="E8" s="3" t="s">
        <v>11</v>
      </c>
      <c r="F8" s="3"/>
      <c r="G8" s="3"/>
      <c r="H8" s="3"/>
    </row>
    <row r="9" spans="2:20" ht="16.95" customHeight="1" x14ac:dyDescent="0.3">
      <c r="C9" s="8" t="s">
        <v>12</v>
      </c>
      <c r="D9" s="31">
        <v>0.66</v>
      </c>
      <c r="E9" s="3" t="s">
        <v>13</v>
      </c>
      <c r="F9" s="4"/>
      <c r="G9" s="4"/>
      <c r="H9" s="4"/>
    </row>
    <row r="10" spans="2:20" ht="15.6" customHeight="1" x14ac:dyDescent="0.3">
      <c r="C10" s="8" t="s">
        <v>14</v>
      </c>
      <c r="D10" s="34">
        <v>0.03</v>
      </c>
      <c r="E10" s="4" t="s">
        <v>15</v>
      </c>
      <c r="F10" s="4"/>
      <c r="G10" s="4"/>
      <c r="H10" s="4"/>
    </row>
    <row r="11" spans="2:20" ht="28.8" x14ac:dyDescent="0.3">
      <c r="C11" s="8" t="s">
        <v>16</v>
      </c>
      <c r="D11" s="34">
        <v>0.06</v>
      </c>
      <c r="E11" s="4" t="s">
        <v>17</v>
      </c>
      <c r="F11" s="4"/>
      <c r="G11" s="4"/>
      <c r="H11" s="4"/>
    </row>
    <row r="12" spans="2:20" x14ac:dyDescent="0.3">
      <c r="C12" s="8" t="s">
        <v>18</v>
      </c>
      <c r="D12" s="31">
        <v>1.5</v>
      </c>
      <c r="E12" s="3" t="s">
        <v>19</v>
      </c>
      <c r="F12" s="4"/>
      <c r="G12" s="4"/>
      <c r="H12" s="4"/>
    </row>
    <row r="13" spans="2:20" x14ac:dyDescent="0.3">
      <c r="C13" s="8" t="s">
        <v>20</v>
      </c>
      <c r="D13" s="44">
        <v>45870</v>
      </c>
      <c r="E13" s="3"/>
      <c r="F13" s="3"/>
      <c r="G13" s="3"/>
      <c r="H13" s="3"/>
    </row>
    <row r="14" spans="2:20" x14ac:dyDescent="0.3">
      <c r="C14" s="8" t="s">
        <v>21</v>
      </c>
      <c r="D14" s="45">
        <f>DAY(EOMONTH(D13,0))</f>
        <v>31</v>
      </c>
    </row>
    <row r="16" spans="2:20" x14ac:dyDescent="0.3">
      <c r="C16" s="20" t="s">
        <v>22</v>
      </c>
      <c r="D16" s="20" t="s">
        <v>23</v>
      </c>
      <c r="E16" s="20" t="s">
        <v>24</v>
      </c>
    </row>
    <row r="17" spans="2:18" x14ac:dyDescent="0.3">
      <c r="C17" s="3" t="s">
        <v>25</v>
      </c>
      <c r="D17" s="35">
        <f>50%*D6</f>
        <v>5</v>
      </c>
      <c r="E17" s="46">
        <f>D17*$E$24</f>
        <v>4.25</v>
      </c>
    </row>
    <row r="18" spans="2:18" x14ac:dyDescent="0.3">
      <c r="C18" s="3" t="s">
        <v>26</v>
      </c>
      <c r="D18" s="35">
        <v>10</v>
      </c>
      <c r="E18" s="46">
        <f t="shared" ref="E18:E19" si="0">D18*$E$24</f>
        <v>8.5</v>
      </c>
    </row>
    <row r="19" spans="2:18" x14ac:dyDescent="0.3">
      <c r="C19" s="3" t="s">
        <v>27</v>
      </c>
      <c r="D19" s="35">
        <f>110%*D18</f>
        <v>11</v>
      </c>
      <c r="E19" s="46">
        <f t="shared" si="0"/>
        <v>9.35</v>
      </c>
    </row>
    <row r="20" spans="2:18" x14ac:dyDescent="0.3">
      <c r="C20" s="3"/>
      <c r="D20" s="13"/>
      <c r="E20" s="14"/>
      <c r="Q20" s="41"/>
    </row>
    <row r="22" spans="2:18" x14ac:dyDescent="0.3">
      <c r="D22" s="36" t="s">
        <v>28</v>
      </c>
      <c r="E22" s="33"/>
      <c r="F22" s="32"/>
      <c r="K22" s="2"/>
    </row>
    <row r="23" spans="2:18" x14ac:dyDescent="0.3">
      <c r="D23" t="s">
        <v>29</v>
      </c>
      <c r="E23" s="27">
        <v>24</v>
      </c>
      <c r="K23" s="2" t="s">
        <v>30</v>
      </c>
    </row>
    <row r="24" spans="2:18" x14ac:dyDescent="0.3">
      <c r="D24" t="s">
        <v>31</v>
      </c>
      <c r="E24" s="27">
        <v>0.85</v>
      </c>
      <c r="K24" s="9"/>
      <c r="L24" s="10"/>
      <c r="M24" s="10"/>
      <c r="N24" s="10"/>
    </row>
    <row r="25" spans="2:18" ht="42" customHeight="1" x14ac:dyDescent="0.3">
      <c r="K25" s="42"/>
      <c r="L25" s="43" t="s">
        <v>32</v>
      </c>
      <c r="M25" s="43" t="s">
        <v>33</v>
      </c>
      <c r="N25" s="43" t="s">
        <v>34</v>
      </c>
      <c r="O25" s="43" t="s">
        <v>35</v>
      </c>
      <c r="P25" s="43" t="s">
        <v>14</v>
      </c>
      <c r="Q25" s="43" t="s">
        <v>18</v>
      </c>
      <c r="R25" s="43" t="s">
        <v>36</v>
      </c>
    </row>
    <row r="26" spans="2:18" ht="42" customHeight="1" x14ac:dyDescent="0.3">
      <c r="B26" s="38" t="s">
        <v>37</v>
      </c>
      <c r="E26" s="38" t="s">
        <v>37</v>
      </c>
      <c r="F26" s="38"/>
      <c r="G26" s="38" t="s">
        <v>38</v>
      </c>
      <c r="H26" s="38"/>
      <c r="I26" s="38" t="s">
        <v>39</v>
      </c>
      <c r="J26" s="26" t="s">
        <v>40</v>
      </c>
      <c r="K26" s="42"/>
      <c r="L26" s="39" t="s">
        <v>41</v>
      </c>
      <c r="M26" s="39" t="s">
        <v>42</v>
      </c>
      <c r="N26" s="39" t="s">
        <v>43</v>
      </c>
      <c r="O26" s="40" t="s">
        <v>44</v>
      </c>
      <c r="P26" s="40" t="s">
        <v>45</v>
      </c>
      <c r="Q26" s="39" t="s">
        <v>46</v>
      </c>
      <c r="R26" s="43"/>
    </row>
    <row r="27" spans="2:18" ht="28.8" x14ac:dyDescent="0.3">
      <c r="B27" s="19" t="s">
        <v>47</v>
      </c>
      <c r="D27" s="18" t="s">
        <v>48</v>
      </c>
      <c r="E27" s="19" t="s">
        <v>49</v>
      </c>
      <c r="F27" s="19"/>
      <c r="G27" s="19" t="s">
        <v>50</v>
      </c>
      <c r="H27" s="19"/>
      <c r="I27" s="19" t="s">
        <v>51</v>
      </c>
      <c r="K27" s="6"/>
      <c r="L27" s="7"/>
      <c r="M27" s="7"/>
      <c r="N27" s="7"/>
      <c r="O27" s="7"/>
      <c r="P27" s="7"/>
      <c r="Q27" s="7"/>
      <c r="R27" s="7">
        <v>0</v>
      </c>
    </row>
    <row r="28" spans="2:18" x14ac:dyDescent="0.3">
      <c r="B28" s="30">
        <v>41.5</v>
      </c>
      <c r="D28" s="15">
        <f>D13</f>
        <v>45870</v>
      </c>
      <c r="E28" s="30">
        <v>45</v>
      </c>
      <c r="F28" s="16"/>
      <c r="G28" s="28">
        <v>1.875</v>
      </c>
      <c r="H28" s="16"/>
      <c r="I28" s="28">
        <f>IF(G28="", "", MIN($E$18, IF(MAX($G$28:$G$57)&gt;$E$17, MAX($G$28:$G$57), G28)))</f>
        <v>1.875</v>
      </c>
      <c r="K28" s="5">
        <f>D28</f>
        <v>45870</v>
      </c>
      <c r="L28" s="21">
        <f>ROUNDUP(I28*($D$7/$D$14),4)</f>
        <v>9.0725999999999996</v>
      </c>
      <c r="M28" s="21">
        <f t="shared" ref="M28:M57" si="1">ROUNDUP(E28*$D$8,4)</f>
        <v>193.5</v>
      </c>
      <c r="N28" s="21">
        <f>B28*$D$9</f>
        <v>27.39</v>
      </c>
      <c r="O28" s="21">
        <f>ROUNDUP($D$11*(M28+N28),4)</f>
        <v>13.253399999999999</v>
      </c>
      <c r="P28" s="21">
        <f>ROUNDUP(-M28*$D$10,4)</f>
        <v>-5.8049999999999997</v>
      </c>
      <c r="Q28" s="21">
        <f t="shared" ref="Q28:Q57" si="2">IF(G28&gt;=$E$19,1.5*$D$7*(G28-$E$18),0)</f>
        <v>0</v>
      </c>
      <c r="R28" s="21">
        <f>ROUNDUP(R27-(L28+M28+N28+O28+P28+Q28),4)</f>
        <v>-237.411</v>
      </c>
    </row>
    <row r="29" spans="2:18" x14ac:dyDescent="0.3">
      <c r="B29" s="30">
        <v>51.5</v>
      </c>
      <c r="D29" s="15">
        <f>D28+1</f>
        <v>45871</v>
      </c>
      <c r="E29" s="30">
        <v>55</v>
      </c>
      <c r="F29" s="16"/>
      <c r="G29" s="28">
        <v>2.2916666666666665</v>
      </c>
      <c r="H29" s="16"/>
      <c r="I29" s="28">
        <f t="shared" ref="I29:I57" si="3">IF(G29="", "", MIN($E$18, IF(MAX($G$28:$G$58)&gt;$E$17, MAX($G$28:$G$58), G29)))</f>
        <v>2.2916666666666665</v>
      </c>
      <c r="K29" s="5">
        <f t="shared" ref="K29:K58" si="4">K28+1</f>
        <v>45871</v>
      </c>
      <c r="L29" s="21">
        <f t="shared" ref="L29:L58" si="5">ROUNDUP(I29*($D$7/$D$14),4)</f>
        <v>11.088799999999999</v>
      </c>
      <c r="M29" s="21">
        <f t="shared" si="1"/>
        <v>236.5</v>
      </c>
      <c r="N29" s="21">
        <f t="shared" ref="N29:N58" si="6">B29*$D$9</f>
        <v>33.99</v>
      </c>
      <c r="O29" s="21">
        <f t="shared" ref="O29:O57" si="7">ROUNDUP($D$11*(M29+N29),4)</f>
        <v>16.229399999999998</v>
      </c>
      <c r="P29" s="21">
        <f t="shared" ref="P29:P57" si="8">ROUNDUP(-M29*$D$10,4)</f>
        <v>-7.0949999999999998</v>
      </c>
      <c r="Q29" s="21">
        <f t="shared" si="2"/>
        <v>0</v>
      </c>
      <c r="R29" s="21">
        <f t="shared" ref="R29:R57" si="9">ROUNDUP(R28-(L29+M29+N29+O29+P29+Q29),4)</f>
        <v>-528.12419999999997</v>
      </c>
    </row>
    <row r="30" spans="2:18" x14ac:dyDescent="0.3">
      <c r="B30" s="30">
        <v>68.5</v>
      </c>
      <c r="D30" s="15">
        <f t="shared" ref="D30:D58" si="10">D29+1</f>
        <v>45872</v>
      </c>
      <c r="E30" s="30">
        <v>72</v>
      </c>
      <c r="F30" s="16"/>
      <c r="G30" s="28">
        <v>3</v>
      </c>
      <c r="H30" s="16"/>
      <c r="I30" s="28">
        <f t="shared" si="3"/>
        <v>3</v>
      </c>
      <c r="K30" s="5">
        <f t="shared" si="4"/>
        <v>45872</v>
      </c>
      <c r="L30" s="21">
        <f t="shared" si="5"/>
        <v>14.5162</v>
      </c>
      <c r="M30" s="21">
        <f t="shared" si="1"/>
        <v>309.60000000000002</v>
      </c>
      <c r="N30" s="21">
        <f t="shared" si="6"/>
        <v>45.21</v>
      </c>
      <c r="O30" s="21">
        <f t="shared" si="7"/>
        <v>21.288599999999999</v>
      </c>
      <c r="P30" s="21">
        <f t="shared" si="8"/>
        <v>-9.2880000000000003</v>
      </c>
      <c r="Q30" s="21">
        <f t="shared" si="2"/>
        <v>0</v>
      </c>
      <c r="R30" s="21">
        <f t="shared" si="9"/>
        <v>-909.45100000000002</v>
      </c>
    </row>
    <row r="31" spans="2:18" x14ac:dyDescent="0.3">
      <c r="B31" s="30">
        <v>81.5</v>
      </c>
      <c r="D31" s="15">
        <f t="shared" si="10"/>
        <v>45873</v>
      </c>
      <c r="E31" s="30">
        <v>85</v>
      </c>
      <c r="F31" s="16"/>
      <c r="G31" s="28">
        <v>3.5416666666666665</v>
      </c>
      <c r="H31" s="16"/>
      <c r="I31" s="28">
        <f t="shared" si="3"/>
        <v>3.5416666666666665</v>
      </c>
      <c r="K31" s="5">
        <f t="shared" si="4"/>
        <v>45873</v>
      </c>
      <c r="L31" s="21">
        <f t="shared" si="5"/>
        <v>17.1371</v>
      </c>
      <c r="M31" s="21">
        <f t="shared" si="1"/>
        <v>365.5</v>
      </c>
      <c r="N31" s="21">
        <f t="shared" si="6"/>
        <v>53.79</v>
      </c>
      <c r="O31" s="21">
        <f t="shared" si="7"/>
        <v>25.157399999999999</v>
      </c>
      <c r="P31" s="21">
        <f t="shared" si="8"/>
        <v>-10.965</v>
      </c>
      <c r="Q31" s="21">
        <f t="shared" si="2"/>
        <v>0</v>
      </c>
      <c r="R31" s="21">
        <f t="shared" si="9"/>
        <v>-1360.0705</v>
      </c>
    </row>
    <row r="32" spans="2:18" x14ac:dyDescent="0.3">
      <c r="B32" s="30">
        <v>61.5</v>
      </c>
      <c r="D32" s="15">
        <f t="shared" si="10"/>
        <v>45874</v>
      </c>
      <c r="E32" s="30">
        <v>65</v>
      </c>
      <c r="F32" s="16"/>
      <c r="G32" s="28">
        <v>2.7083333333333335</v>
      </c>
      <c r="H32" s="16"/>
      <c r="I32" s="28">
        <f t="shared" si="3"/>
        <v>2.7083333333333335</v>
      </c>
      <c r="K32" s="5">
        <f>K31+1</f>
        <v>45874</v>
      </c>
      <c r="L32" s="21">
        <f t="shared" si="5"/>
        <v>13.104899999999999</v>
      </c>
      <c r="M32" s="21">
        <f t="shared" si="1"/>
        <v>279.5</v>
      </c>
      <c r="N32" s="21">
        <f t="shared" si="6"/>
        <v>40.590000000000003</v>
      </c>
      <c r="O32" s="21">
        <f t="shared" si="7"/>
        <v>19.205400000000001</v>
      </c>
      <c r="P32" s="21">
        <f t="shared" si="8"/>
        <v>-8.3849999999999998</v>
      </c>
      <c r="Q32" s="21">
        <f t="shared" si="2"/>
        <v>0</v>
      </c>
      <c r="R32" s="21">
        <f t="shared" si="9"/>
        <v>-1704.0858000000001</v>
      </c>
    </row>
    <row r="33" spans="2:18" x14ac:dyDescent="0.3">
      <c r="B33" s="30">
        <v>78.5</v>
      </c>
      <c r="D33" s="15">
        <f t="shared" si="10"/>
        <v>45875</v>
      </c>
      <c r="E33" s="30">
        <v>82</v>
      </c>
      <c r="F33" s="16"/>
      <c r="G33" s="28">
        <v>3.4166666666666665</v>
      </c>
      <c r="H33" s="16"/>
      <c r="I33" s="28">
        <f t="shared" si="3"/>
        <v>3.4166666666666665</v>
      </c>
      <c r="K33" s="5">
        <f t="shared" si="4"/>
        <v>45875</v>
      </c>
      <c r="L33" s="21">
        <f t="shared" si="5"/>
        <v>16.532299999999999</v>
      </c>
      <c r="M33" s="21">
        <f t="shared" si="1"/>
        <v>352.6</v>
      </c>
      <c r="N33" s="21">
        <f t="shared" si="6"/>
        <v>51.81</v>
      </c>
      <c r="O33" s="21">
        <f t="shared" si="7"/>
        <v>24.264600000000002</v>
      </c>
      <c r="P33" s="21">
        <f t="shared" si="8"/>
        <v>-10.577999999999999</v>
      </c>
      <c r="Q33" s="21">
        <f t="shared" si="2"/>
        <v>0</v>
      </c>
      <c r="R33" s="21">
        <f t="shared" si="9"/>
        <v>-2138.7147</v>
      </c>
    </row>
    <row r="34" spans="2:18" x14ac:dyDescent="0.3">
      <c r="B34" s="30">
        <v>71.5</v>
      </c>
      <c r="D34" s="15">
        <f t="shared" si="10"/>
        <v>45876</v>
      </c>
      <c r="E34" s="30">
        <v>75</v>
      </c>
      <c r="F34" s="16"/>
      <c r="G34" s="28">
        <v>3.125</v>
      </c>
      <c r="H34" s="16"/>
      <c r="I34" s="28">
        <f t="shared" si="3"/>
        <v>3.125</v>
      </c>
      <c r="K34" s="5">
        <f t="shared" si="4"/>
        <v>45876</v>
      </c>
      <c r="L34" s="21">
        <f t="shared" si="5"/>
        <v>15.121</v>
      </c>
      <c r="M34" s="21">
        <f t="shared" si="1"/>
        <v>322.5</v>
      </c>
      <c r="N34" s="21">
        <f t="shared" si="6"/>
        <v>47.190000000000005</v>
      </c>
      <c r="O34" s="21">
        <f t="shared" si="7"/>
        <v>22.1814</v>
      </c>
      <c r="P34" s="21">
        <f t="shared" si="8"/>
        <v>-9.6750000000000007</v>
      </c>
      <c r="Q34" s="21">
        <f t="shared" si="2"/>
        <v>0</v>
      </c>
      <c r="R34" s="21">
        <f t="shared" si="9"/>
        <v>-2536.0320999999999</v>
      </c>
    </row>
    <row r="35" spans="2:18" x14ac:dyDescent="0.3">
      <c r="B35" s="30">
        <v>91.5</v>
      </c>
      <c r="D35" s="15">
        <f t="shared" si="10"/>
        <v>45877</v>
      </c>
      <c r="E35" s="30">
        <v>95</v>
      </c>
      <c r="F35" s="16"/>
      <c r="G35" s="28">
        <v>3.9583333333333335</v>
      </c>
      <c r="H35" s="16"/>
      <c r="I35" s="28">
        <f t="shared" si="3"/>
        <v>3.9583333333333335</v>
      </c>
      <c r="K35" s="5">
        <f t="shared" si="4"/>
        <v>45877</v>
      </c>
      <c r="L35" s="21">
        <f t="shared" si="5"/>
        <v>19.153299999999998</v>
      </c>
      <c r="M35" s="21">
        <f t="shared" si="1"/>
        <v>408.5</v>
      </c>
      <c r="N35" s="21">
        <f t="shared" si="6"/>
        <v>60.39</v>
      </c>
      <c r="O35" s="21">
        <f t="shared" si="7"/>
        <v>28.133400000000002</v>
      </c>
      <c r="P35" s="21">
        <f t="shared" si="8"/>
        <v>-12.255000000000001</v>
      </c>
      <c r="Q35" s="21">
        <f t="shared" si="2"/>
        <v>0</v>
      </c>
      <c r="R35" s="21">
        <f t="shared" si="9"/>
        <v>-3039.9537999999998</v>
      </c>
    </row>
    <row r="36" spans="2:18" x14ac:dyDescent="0.3">
      <c r="B36" s="30">
        <v>84.5</v>
      </c>
      <c r="D36" s="15">
        <f t="shared" si="10"/>
        <v>45878</v>
      </c>
      <c r="E36" s="30">
        <v>88</v>
      </c>
      <c r="F36" s="16"/>
      <c r="G36" s="28">
        <v>3.6666666666666665</v>
      </c>
      <c r="H36" s="16"/>
      <c r="I36" s="28">
        <f t="shared" si="3"/>
        <v>3.6666666666666665</v>
      </c>
      <c r="K36" s="5">
        <f t="shared" si="4"/>
        <v>45878</v>
      </c>
      <c r="L36" s="21">
        <f t="shared" si="5"/>
        <v>17.742000000000001</v>
      </c>
      <c r="M36" s="21">
        <f t="shared" si="1"/>
        <v>378.4</v>
      </c>
      <c r="N36" s="21">
        <f t="shared" si="6"/>
        <v>55.77</v>
      </c>
      <c r="O36" s="21">
        <f t="shared" si="7"/>
        <v>26.0502</v>
      </c>
      <c r="P36" s="21">
        <f t="shared" si="8"/>
        <v>-11.352</v>
      </c>
      <c r="Q36" s="21">
        <f t="shared" si="2"/>
        <v>0</v>
      </c>
      <c r="R36" s="21">
        <f t="shared" si="9"/>
        <v>-3506.5639999999999</v>
      </c>
    </row>
    <row r="37" spans="2:18" x14ac:dyDescent="0.3">
      <c r="B37" s="30">
        <v>93.5</v>
      </c>
      <c r="D37" s="15">
        <f t="shared" si="10"/>
        <v>45879</v>
      </c>
      <c r="E37" s="30">
        <v>98</v>
      </c>
      <c r="F37" s="16"/>
      <c r="G37" s="28">
        <v>4.083333333333333</v>
      </c>
      <c r="H37" s="16"/>
      <c r="I37" s="28">
        <f t="shared" si="3"/>
        <v>4.083333333333333</v>
      </c>
      <c r="K37" s="5">
        <f t="shared" si="4"/>
        <v>45879</v>
      </c>
      <c r="L37" s="21">
        <f t="shared" si="5"/>
        <v>19.758099999999999</v>
      </c>
      <c r="M37" s="21">
        <f t="shared" si="1"/>
        <v>421.4</v>
      </c>
      <c r="N37" s="21">
        <f t="shared" si="6"/>
        <v>61.71</v>
      </c>
      <c r="O37" s="21">
        <f t="shared" si="7"/>
        <v>28.986599999999999</v>
      </c>
      <c r="P37" s="21">
        <f t="shared" si="8"/>
        <v>-12.641999999999999</v>
      </c>
      <c r="Q37" s="21">
        <f t="shared" si="2"/>
        <v>0</v>
      </c>
      <c r="R37" s="21">
        <f t="shared" si="9"/>
        <v>-4025.7766999999999</v>
      </c>
    </row>
    <row r="38" spans="2:18" x14ac:dyDescent="0.3">
      <c r="B38" s="30">
        <v>90.5</v>
      </c>
      <c r="D38" s="15">
        <f t="shared" si="10"/>
        <v>45880</v>
      </c>
      <c r="E38" s="30">
        <v>95</v>
      </c>
      <c r="F38" s="16"/>
      <c r="G38" s="28">
        <v>3.9583333333333335</v>
      </c>
      <c r="H38" s="16"/>
      <c r="I38" s="28">
        <f t="shared" si="3"/>
        <v>3.9583333333333335</v>
      </c>
      <c r="K38" s="5">
        <f t="shared" si="4"/>
        <v>45880</v>
      </c>
      <c r="L38" s="21">
        <f t="shared" si="5"/>
        <v>19.153299999999998</v>
      </c>
      <c r="M38" s="21">
        <f t="shared" si="1"/>
        <v>408.5</v>
      </c>
      <c r="N38" s="21">
        <f t="shared" si="6"/>
        <v>59.730000000000004</v>
      </c>
      <c r="O38" s="21">
        <f t="shared" si="7"/>
        <v>28.093800000000002</v>
      </c>
      <c r="P38" s="21">
        <f t="shared" si="8"/>
        <v>-12.255000000000001</v>
      </c>
      <c r="Q38" s="21">
        <f t="shared" si="2"/>
        <v>0</v>
      </c>
      <c r="R38" s="21">
        <f t="shared" si="9"/>
        <v>-4528.9988000000003</v>
      </c>
    </row>
    <row r="39" spans="2:18" x14ac:dyDescent="0.3">
      <c r="B39" s="30">
        <v>70.5</v>
      </c>
      <c r="D39" s="15">
        <f t="shared" si="10"/>
        <v>45881</v>
      </c>
      <c r="E39" s="30">
        <v>75</v>
      </c>
      <c r="F39" s="16"/>
      <c r="G39" s="28">
        <v>3.125</v>
      </c>
      <c r="H39" s="16"/>
      <c r="I39" s="28">
        <f t="shared" si="3"/>
        <v>3.125</v>
      </c>
      <c r="K39" s="5">
        <f t="shared" si="4"/>
        <v>45881</v>
      </c>
      <c r="L39" s="21">
        <f t="shared" si="5"/>
        <v>15.121</v>
      </c>
      <c r="M39" s="21">
        <f t="shared" si="1"/>
        <v>322.5</v>
      </c>
      <c r="N39" s="21">
        <f t="shared" si="6"/>
        <v>46.53</v>
      </c>
      <c r="O39" s="21">
        <f t="shared" si="7"/>
        <v>22.1418</v>
      </c>
      <c r="P39" s="21">
        <f t="shared" si="8"/>
        <v>-9.6750000000000007</v>
      </c>
      <c r="Q39" s="21">
        <f t="shared" si="2"/>
        <v>0</v>
      </c>
      <c r="R39" s="21">
        <f t="shared" si="9"/>
        <v>-4925.6166000000003</v>
      </c>
    </row>
    <row r="40" spans="2:18" x14ac:dyDescent="0.3">
      <c r="B40" s="30">
        <v>60.5</v>
      </c>
      <c r="D40" s="15">
        <f t="shared" si="10"/>
        <v>45882</v>
      </c>
      <c r="E40" s="30">
        <v>65</v>
      </c>
      <c r="F40" s="16"/>
      <c r="G40" s="28">
        <v>2.7083333333333335</v>
      </c>
      <c r="H40" s="16"/>
      <c r="I40" s="28">
        <f t="shared" si="3"/>
        <v>2.7083333333333335</v>
      </c>
      <c r="K40" s="5">
        <f t="shared" si="4"/>
        <v>45882</v>
      </c>
      <c r="L40" s="21">
        <f t="shared" si="5"/>
        <v>13.104899999999999</v>
      </c>
      <c r="M40" s="21">
        <f t="shared" si="1"/>
        <v>279.5</v>
      </c>
      <c r="N40" s="21">
        <f t="shared" si="6"/>
        <v>39.93</v>
      </c>
      <c r="O40" s="21">
        <f t="shared" si="7"/>
        <v>19.165800000000001</v>
      </c>
      <c r="P40" s="21">
        <f t="shared" si="8"/>
        <v>-8.3849999999999998</v>
      </c>
      <c r="Q40" s="21">
        <f t="shared" si="2"/>
        <v>0</v>
      </c>
      <c r="R40" s="21">
        <f t="shared" si="9"/>
        <v>-5268.9323000000004</v>
      </c>
    </row>
    <row r="41" spans="2:18" x14ac:dyDescent="0.3">
      <c r="B41" s="30">
        <v>70.5</v>
      </c>
      <c r="D41" s="15">
        <f t="shared" si="10"/>
        <v>45883</v>
      </c>
      <c r="E41" s="30">
        <v>75</v>
      </c>
      <c r="F41" s="16"/>
      <c r="G41" s="28">
        <v>3.125</v>
      </c>
      <c r="H41" s="16"/>
      <c r="I41" s="28">
        <f t="shared" si="3"/>
        <v>3.125</v>
      </c>
      <c r="K41" s="5">
        <f t="shared" si="4"/>
        <v>45883</v>
      </c>
      <c r="L41" s="21">
        <f t="shared" si="5"/>
        <v>15.121</v>
      </c>
      <c r="M41" s="21">
        <f t="shared" si="1"/>
        <v>322.5</v>
      </c>
      <c r="N41" s="21">
        <f t="shared" si="6"/>
        <v>46.53</v>
      </c>
      <c r="O41" s="21">
        <f t="shared" si="7"/>
        <v>22.1418</v>
      </c>
      <c r="P41" s="21">
        <f t="shared" si="8"/>
        <v>-9.6750000000000007</v>
      </c>
      <c r="Q41" s="21">
        <f t="shared" si="2"/>
        <v>0</v>
      </c>
      <c r="R41" s="21">
        <f t="shared" si="9"/>
        <v>-5665.5501000000004</v>
      </c>
    </row>
    <row r="42" spans="2:18" x14ac:dyDescent="0.3">
      <c r="B42" s="30">
        <v>90.5</v>
      </c>
      <c r="D42" s="15">
        <f t="shared" si="10"/>
        <v>45884</v>
      </c>
      <c r="E42" s="30">
        <v>95</v>
      </c>
      <c r="F42" s="16"/>
      <c r="G42" s="28">
        <v>3.9583333333333335</v>
      </c>
      <c r="H42" s="16"/>
      <c r="I42" s="28">
        <f t="shared" si="3"/>
        <v>3.9583333333333335</v>
      </c>
      <c r="K42" s="5">
        <f t="shared" si="4"/>
        <v>45884</v>
      </c>
      <c r="L42" s="21">
        <f t="shared" si="5"/>
        <v>19.153299999999998</v>
      </c>
      <c r="M42" s="21">
        <f t="shared" si="1"/>
        <v>408.5</v>
      </c>
      <c r="N42" s="21">
        <f t="shared" si="6"/>
        <v>59.730000000000004</v>
      </c>
      <c r="O42" s="21">
        <f t="shared" si="7"/>
        <v>28.093800000000002</v>
      </c>
      <c r="P42" s="21">
        <f t="shared" si="8"/>
        <v>-12.255000000000001</v>
      </c>
      <c r="Q42" s="21">
        <f t="shared" si="2"/>
        <v>0</v>
      </c>
      <c r="R42" s="21">
        <f t="shared" si="9"/>
        <v>-6168.7722000000003</v>
      </c>
    </row>
    <row r="43" spans="2:18" x14ac:dyDescent="0.3">
      <c r="B43" s="30">
        <v>80.5</v>
      </c>
      <c r="D43" s="15">
        <f t="shared" si="10"/>
        <v>45885</v>
      </c>
      <c r="E43" s="30">
        <v>85</v>
      </c>
      <c r="F43" s="16"/>
      <c r="G43" s="28">
        <v>3.5416666666666665</v>
      </c>
      <c r="H43" s="16"/>
      <c r="I43" s="28">
        <f t="shared" si="3"/>
        <v>3.5416666666666665</v>
      </c>
      <c r="K43" s="5">
        <f t="shared" si="4"/>
        <v>45885</v>
      </c>
      <c r="L43" s="21">
        <f t="shared" si="5"/>
        <v>17.1371</v>
      </c>
      <c r="M43" s="21">
        <f t="shared" si="1"/>
        <v>365.5</v>
      </c>
      <c r="N43" s="21">
        <f t="shared" si="6"/>
        <v>53.13</v>
      </c>
      <c r="O43" s="21">
        <f t="shared" si="7"/>
        <v>25.117799999999999</v>
      </c>
      <c r="P43" s="21">
        <f t="shared" si="8"/>
        <v>-10.965</v>
      </c>
      <c r="Q43" s="21">
        <f t="shared" si="2"/>
        <v>0</v>
      </c>
      <c r="R43" s="21">
        <f t="shared" si="9"/>
        <v>-6618.6921000000002</v>
      </c>
    </row>
    <row r="44" spans="2:18" x14ac:dyDescent="0.3">
      <c r="B44" s="30">
        <v>83.5</v>
      </c>
      <c r="D44" s="15">
        <f t="shared" si="10"/>
        <v>45886</v>
      </c>
      <c r="E44" s="30">
        <v>88</v>
      </c>
      <c r="F44" s="16"/>
      <c r="G44" s="28">
        <v>3.6666666666666665</v>
      </c>
      <c r="H44" s="16"/>
      <c r="I44" s="28">
        <f t="shared" si="3"/>
        <v>3.6666666666666665</v>
      </c>
      <c r="K44" s="5">
        <f t="shared" si="4"/>
        <v>45886</v>
      </c>
      <c r="L44" s="21">
        <f t="shared" si="5"/>
        <v>17.742000000000001</v>
      </c>
      <c r="M44" s="21">
        <f t="shared" si="1"/>
        <v>378.4</v>
      </c>
      <c r="N44" s="21">
        <f t="shared" si="6"/>
        <v>55.11</v>
      </c>
      <c r="O44" s="21">
        <f t="shared" si="7"/>
        <v>26.0106</v>
      </c>
      <c r="P44" s="21">
        <f t="shared" si="8"/>
        <v>-11.352</v>
      </c>
      <c r="Q44" s="21">
        <f t="shared" si="2"/>
        <v>0</v>
      </c>
      <c r="R44" s="21">
        <f t="shared" si="9"/>
        <v>-7084.6027000000004</v>
      </c>
    </row>
    <row r="45" spans="2:18" x14ac:dyDescent="0.3">
      <c r="B45" s="30">
        <v>93.5</v>
      </c>
      <c r="D45" s="15">
        <f t="shared" si="10"/>
        <v>45887</v>
      </c>
      <c r="E45" s="30">
        <v>98</v>
      </c>
      <c r="F45" s="16"/>
      <c r="G45" s="28">
        <v>4.083333333333333</v>
      </c>
      <c r="H45" s="16"/>
      <c r="I45" s="28">
        <f t="shared" si="3"/>
        <v>4.083333333333333</v>
      </c>
      <c r="K45" s="5">
        <f t="shared" si="4"/>
        <v>45887</v>
      </c>
      <c r="L45" s="21">
        <f t="shared" si="5"/>
        <v>19.758099999999999</v>
      </c>
      <c r="M45" s="21">
        <f t="shared" si="1"/>
        <v>421.4</v>
      </c>
      <c r="N45" s="21">
        <f t="shared" si="6"/>
        <v>61.71</v>
      </c>
      <c r="O45" s="21">
        <f t="shared" si="7"/>
        <v>28.986599999999999</v>
      </c>
      <c r="P45" s="21">
        <f t="shared" si="8"/>
        <v>-12.641999999999999</v>
      </c>
      <c r="Q45" s="21">
        <f t="shared" si="2"/>
        <v>0</v>
      </c>
      <c r="R45" s="21">
        <f t="shared" si="9"/>
        <v>-7603.8154000000004</v>
      </c>
    </row>
    <row r="46" spans="2:18" x14ac:dyDescent="0.3">
      <c r="B46" s="30">
        <v>90.5</v>
      </c>
      <c r="D46" s="15">
        <f t="shared" si="10"/>
        <v>45888</v>
      </c>
      <c r="E46" s="30">
        <v>95</v>
      </c>
      <c r="F46" s="16"/>
      <c r="G46" s="28">
        <v>4.25</v>
      </c>
      <c r="H46" s="16"/>
      <c r="I46" s="28">
        <f t="shared" si="3"/>
        <v>4.25</v>
      </c>
      <c r="K46" s="5">
        <f t="shared" si="4"/>
        <v>45888</v>
      </c>
      <c r="L46" s="21">
        <f t="shared" si="5"/>
        <v>20.564599999999999</v>
      </c>
      <c r="M46" s="21">
        <f t="shared" si="1"/>
        <v>408.5</v>
      </c>
      <c r="N46" s="21">
        <f t="shared" si="6"/>
        <v>59.730000000000004</v>
      </c>
      <c r="O46" s="21">
        <f t="shared" si="7"/>
        <v>28.093800000000002</v>
      </c>
      <c r="P46" s="21">
        <f t="shared" si="8"/>
        <v>-12.255000000000001</v>
      </c>
      <c r="Q46" s="21">
        <f t="shared" si="2"/>
        <v>0</v>
      </c>
      <c r="R46" s="21">
        <f t="shared" si="9"/>
        <v>-8108.4488000000001</v>
      </c>
    </row>
    <row r="47" spans="2:18" x14ac:dyDescent="0.3">
      <c r="B47" s="30">
        <v>93.5</v>
      </c>
      <c r="D47" s="15">
        <f t="shared" si="10"/>
        <v>45889</v>
      </c>
      <c r="E47" s="30">
        <v>98</v>
      </c>
      <c r="F47" s="16"/>
      <c r="G47" s="28">
        <v>4.083333333333333</v>
      </c>
      <c r="H47" s="16"/>
      <c r="I47" s="28">
        <f t="shared" si="3"/>
        <v>4.083333333333333</v>
      </c>
      <c r="K47" s="5">
        <f t="shared" si="4"/>
        <v>45889</v>
      </c>
      <c r="L47" s="21">
        <f t="shared" si="5"/>
        <v>19.758099999999999</v>
      </c>
      <c r="M47" s="21">
        <f t="shared" si="1"/>
        <v>421.4</v>
      </c>
      <c r="N47" s="21">
        <f t="shared" si="6"/>
        <v>61.71</v>
      </c>
      <c r="O47" s="21">
        <f t="shared" si="7"/>
        <v>28.986599999999999</v>
      </c>
      <c r="P47" s="21">
        <f t="shared" si="8"/>
        <v>-12.641999999999999</v>
      </c>
      <c r="Q47" s="21">
        <f t="shared" si="2"/>
        <v>0</v>
      </c>
      <c r="R47" s="21">
        <f t="shared" si="9"/>
        <v>-8627.6615000000002</v>
      </c>
    </row>
    <row r="48" spans="2:18" x14ac:dyDescent="0.3">
      <c r="B48" s="30">
        <v>83.5</v>
      </c>
      <c r="D48" s="15">
        <f t="shared" si="10"/>
        <v>45890</v>
      </c>
      <c r="E48" s="30">
        <v>88</v>
      </c>
      <c r="F48" s="16"/>
      <c r="G48" s="28">
        <v>3.6666666666666665</v>
      </c>
      <c r="H48" s="16"/>
      <c r="I48" s="28">
        <f t="shared" si="3"/>
        <v>3.6666666666666665</v>
      </c>
      <c r="K48" s="5">
        <f t="shared" si="4"/>
        <v>45890</v>
      </c>
      <c r="L48" s="21">
        <f t="shared" si="5"/>
        <v>17.742000000000001</v>
      </c>
      <c r="M48" s="21">
        <f t="shared" si="1"/>
        <v>378.4</v>
      </c>
      <c r="N48" s="21">
        <f t="shared" si="6"/>
        <v>55.11</v>
      </c>
      <c r="O48" s="21">
        <f t="shared" si="7"/>
        <v>26.0106</v>
      </c>
      <c r="P48" s="21">
        <f t="shared" si="8"/>
        <v>-11.352</v>
      </c>
      <c r="Q48" s="21">
        <f t="shared" si="2"/>
        <v>0</v>
      </c>
      <c r="R48" s="21">
        <f t="shared" si="9"/>
        <v>-9093.5720999999994</v>
      </c>
    </row>
    <row r="49" spans="2:18" x14ac:dyDescent="0.3">
      <c r="B49" s="30">
        <v>75.5</v>
      </c>
      <c r="D49" s="15">
        <f t="shared" si="10"/>
        <v>45891</v>
      </c>
      <c r="E49" s="30">
        <v>78</v>
      </c>
      <c r="F49" s="16"/>
      <c r="G49" s="28">
        <v>3.25</v>
      </c>
      <c r="H49" s="16"/>
      <c r="I49" s="28">
        <f t="shared" si="3"/>
        <v>3.25</v>
      </c>
      <c r="K49" s="5">
        <f t="shared" si="4"/>
        <v>45891</v>
      </c>
      <c r="L49" s="21">
        <f t="shared" si="5"/>
        <v>15.725899999999999</v>
      </c>
      <c r="M49" s="21">
        <f t="shared" si="1"/>
        <v>335.4</v>
      </c>
      <c r="N49" s="21">
        <f t="shared" si="6"/>
        <v>49.830000000000005</v>
      </c>
      <c r="O49" s="21">
        <f t="shared" si="7"/>
        <v>23.113800000000001</v>
      </c>
      <c r="P49" s="21">
        <f t="shared" si="8"/>
        <v>-10.061999999999999</v>
      </c>
      <c r="Q49" s="21">
        <f t="shared" si="2"/>
        <v>0</v>
      </c>
      <c r="R49" s="21">
        <f t="shared" si="9"/>
        <v>-9507.5797999999995</v>
      </c>
    </row>
    <row r="50" spans="2:18" x14ac:dyDescent="0.3">
      <c r="B50" s="30">
        <v>87.5</v>
      </c>
      <c r="D50" s="15">
        <f t="shared" si="10"/>
        <v>45892</v>
      </c>
      <c r="E50" s="30">
        <v>90</v>
      </c>
      <c r="F50" s="16"/>
      <c r="G50" s="28">
        <v>3.75</v>
      </c>
      <c r="H50" s="16"/>
      <c r="I50" s="28">
        <f t="shared" si="3"/>
        <v>3.75</v>
      </c>
      <c r="K50" s="5">
        <f t="shared" si="4"/>
        <v>45892</v>
      </c>
      <c r="L50" s="21">
        <f t="shared" si="5"/>
        <v>18.145199999999999</v>
      </c>
      <c r="M50" s="21">
        <f t="shared" si="1"/>
        <v>387</v>
      </c>
      <c r="N50" s="21">
        <f t="shared" si="6"/>
        <v>57.75</v>
      </c>
      <c r="O50" s="21">
        <f t="shared" si="7"/>
        <v>26.684999999999999</v>
      </c>
      <c r="P50" s="21">
        <f t="shared" si="8"/>
        <v>-11.61</v>
      </c>
      <c r="Q50" s="21">
        <f t="shared" si="2"/>
        <v>0</v>
      </c>
      <c r="R50" s="21">
        <f t="shared" si="9"/>
        <v>-9985.5499999999993</v>
      </c>
    </row>
    <row r="51" spans="2:18" x14ac:dyDescent="0.3">
      <c r="B51" s="30">
        <v>87.5</v>
      </c>
      <c r="D51" s="15">
        <f t="shared" si="10"/>
        <v>45893</v>
      </c>
      <c r="E51" s="30">
        <v>90</v>
      </c>
      <c r="F51" s="16"/>
      <c r="G51" s="28">
        <v>3.75</v>
      </c>
      <c r="H51" s="16"/>
      <c r="I51" s="28">
        <f t="shared" si="3"/>
        <v>3.75</v>
      </c>
      <c r="K51" s="5">
        <f t="shared" si="4"/>
        <v>45893</v>
      </c>
      <c r="L51" s="21">
        <f t="shared" si="5"/>
        <v>18.145199999999999</v>
      </c>
      <c r="M51" s="21">
        <f t="shared" si="1"/>
        <v>387</v>
      </c>
      <c r="N51" s="21">
        <f t="shared" si="6"/>
        <v>57.75</v>
      </c>
      <c r="O51" s="21">
        <f t="shared" si="7"/>
        <v>26.684999999999999</v>
      </c>
      <c r="P51" s="21">
        <f t="shared" si="8"/>
        <v>-11.61</v>
      </c>
      <c r="Q51" s="21">
        <f t="shared" si="2"/>
        <v>0</v>
      </c>
      <c r="R51" s="21">
        <f t="shared" si="9"/>
        <v>-10463.520200000001</v>
      </c>
    </row>
    <row r="52" spans="2:18" x14ac:dyDescent="0.3">
      <c r="B52" s="30">
        <v>85.5</v>
      </c>
      <c r="D52" s="15">
        <f t="shared" si="10"/>
        <v>45894</v>
      </c>
      <c r="E52" s="30">
        <v>88</v>
      </c>
      <c r="F52" s="16"/>
      <c r="G52" s="28">
        <v>3.6666666666666665</v>
      </c>
      <c r="H52" s="16"/>
      <c r="I52" s="28">
        <f t="shared" si="3"/>
        <v>3.6666666666666665</v>
      </c>
      <c r="K52" s="5">
        <f t="shared" si="4"/>
        <v>45894</v>
      </c>
      <c r="L52" s="21">
        <f t="shared" si="5"/>
        <v>17.742000000000001</v>
      </c>
      <c r="M52" s="21">
        <f t="shared" si="1"/>
        <v>378.4</v>
      </c>
      <c r="N52" s="21">
        <f t="shared" si="6"/>
        <v>56.43</v>
      </c>
      <c r="O52" s="21">
        <f t="shared" si="7"/>
        <v>26.0898</v>
      </c>
      <c r="P52" s="21">
        <f t="shared" si="8"/>
        <v>-11.352</v>
      </c>
      <c r="Q52" s="21">
        <f t="shared" si="2"/>
        <v>0</v>
      </c>
      <c r="R52" s="21">
        <f t="shared" si="9"/>
        <v>-10930.83</v>
      </c>
    </row>
    <row r="53" spans="2:18" x14ac:dyDescent="0.3">
      <c r="B53" s="30">
        <v>92.5</v>
      </c>
      <c r="D53" s="15">
        <f t="shared" si="10"/>
        <v>45895</v>
      </c>
      <c r="E53" s="30">
        <v>95</v>
      </c>
      <c r="F53" s="16"/>
      <c r="G53" s="28">
        <v>3.9583333333333335</v>
      </c>
      <c r="H53" s="16"/>
      <c r="I53" s="28">
        <f t="shared" si="3"/>
        <v>3.9583333333333335</v>
      </c>
      <c r="K53" s="5">
        <f t="shared" si="4"/>
        <v>45895</v>
      </c>
      <c r="L53" s="21">
        <f t="shared" si="5"/>
        <v>19.153299999999998</v>
      </c>
      <c r="M53" s="21">
        <f t="shared" si="1"/>
        <v>408.5</v>
      </c>
      <c r="N53" s="21">
        <f t="shared" si="6"/>
        <v>61.050000000000004</v>
      </c>
      <c r="O53" s="21">
        <f t="shared" si="7"/>
        <v>28.172999999999998</v>
      </c>
      <c r="P53" s="21">
        <f t="shared" si="8"/>
        <v>-12.255000000000001</v>
      </c>
      <c r="Q53" s="21">
        <f t="shared" si="2"/>
        <v>0</v>
      </c>
      <c r="R53" s="21">
        <f t="shared" si="9"/>
        <v>-11435.451300000001</v>
      </c>
    </row>
    <row r="54" spans="2:18" x14ac:dyDescent="0.3">
      <c r="B54" s="30">
        <v>95.5</v>
      </c>
      <c r="D54" s="15">
        <f t="shared" si="10"/>
        <v>45896</v>
      </c>
      <c r="E54" s="30">
        <v>98</v>
      </c>
      <c r="F54" s="16"/>
      <c r="G54" s="28">
        <v>4.083333333333333</v>
      </c>
      <c r="H54" s="16"/>
      <c r="I54" s="28">
        <f t="shared" si="3"/>
        <v>4.083333333333333</v>
      </c>
      <c r="K54" s="5">
        <f t="shared" si="4"/>
        <v>45896</v>
      </c>
      <c r="L54" s="21">
        <f t="shared" si="5"/>
        <v>19.758099999999999</v>
      </c>
      <c r="M54" s="21">
        <f t="shared" si="1"/>
        <v>421.4</v>
      </c>
      <c r="N54" s="21">
        <f t="shared" si="6"/>
        <v>63.03</v>
      </c>
      <c r="O54" s="21">
        <f t="shared" si="7"/>
        <v>29.065799999999999</v>
      </c>
      <c r="P54" s="21">
        <f t="shared" si="8"/>
        <v>-12.641999999999999</v>
      </c>
      <c r="Q54" s="21">
        <f t="shared" si="2"/>
        <v>0</v>
      </c>
      <c r="R54" s="21">
        <f t="shared" si="9"/>
        <v>-11956.063200000001</v>
      </c>
    </row>
    <row r="55" spans="2:18" x14ac:dyDescent="0.3">
      <c r="B55" s="30">
        <v>98.5</v>
      </c>
      <c r="D55" s="15">
        <f t="shared" si="10"/>
        <v>45897</v>
      </c>
      <c r="E55" s="30">
        <v>101</v>
      </c>
      <c r="F55" s="16"/>
      <c r="G55" s="28">
        <v>4.208333333333333</v>
      </c>
      <c r="H55" s="16"/>
      <c r="I55" s="28">
        <f t="shared" si="3"/>
        <v>4.208333333333333</v>
      </c>
      <c r="K55" s="5">
        <f t="shared" si="4"/>
        <v>45897</v>
      </c>
      <c r="L55" s="21">
        <f t="shared" si="5"/>
        <v>20.363</v>
      </c>
      <c r="M55" s="21">
        <f t="shared" si="1"/>
        <v>434.3</v>
      </c>
      <c r="N55" s="21">
        <f t="shared" si="6"/>
        <v>65.010000000000005</v>
      </c>
      <c r="O55" s="21">
        <f t="shared" si="7"/>
        <v>29.958600000000001</v>
      </c>
      <c r="P55" s="21">
        <f t="shared" si="8"/>
        <v>-13.029</v>
      </c>
      <c r="Q55" s="21">
        <f t="shared" si="2"/>
        <v>0</v>
      </c>
      <c r="R55" s="21">
        <f t="shared" si="9"/>
        <v>-12492.665800000001</v>
      </c>
    </row>
    <row r="56" spans="2:18" x14ac:dyDescent="0.3">
      <c r="B56" s="30">
        <v>85.5</v>
      </c>
      <c r="D56" s="15">
        <f t="shared" si="10"/>
        <v>45898</v>
      </c>
      <c r="E56" s="30">
        <v>88</v>
      </c>
      <c r="F56" s="16"/>
      <c r="G56" s="28">
        <v>3.6666666666666665</v>
      </c>
      <c r="H56" s="16"/>
      <c r="I56" s="28">
        <f t="shared" si="3"/>
        <v>3.6666666666666665</v>
      </c>
      <c r="K56" s="5">
        <f t="shared" si="4"/>
        <v>45898</v>
      </c>
      <c r="L56" s="21">
        <f t="shared" si="5"/>
        <v>17.742000000000001</v>
      </c>
      <c r="M56" s="21">
        <f t="shared" si="1"/>
        <v>378.4</v>
      </c>
      <c r="N56" s="21">
        <f t="shared" si="6"/>
        <v>56.43</v>
      </c>
      <c r="O56" s="21">
        <f t="shared" si="7"/>
        <v>26.0898</v>
      </c>
      <c r="P56" s="21">
        <f t="shared" si="8"/>
        <v>-11.352</v>
      </c>
      <c r="Q56" s="21">
        <f t="shared" si="2"/>
        <v>0</v>
      </c>
      <c r="R56" s="21">
        <f t="shared" si="9"/>
        <v>-12959.9756</v>
      </c>
    </row>
    <row r="57" spans="2:18" x14ac:dyDescent="0.3">
      <c r="B57" s="30">
        <v>92.5</v>
      </c>
      <c r="D57" s="15">
        <f t="shared" si="10"/>
        <v>45899</v>
      </c>
      <c r="E57" s="30">
        <v>95</v>
      </c>
      <c r="F57" s="16"/>
      <c r="G57" s="28">
        <v>3.9583333333333335</v>
      </c>
      <c r="H57" s="16"/>
      <c r="I57" s="28">
        <f t="shared" si="3"/>
        <v>3.9583333333333335</v>
      </c>
      <c r="K57" s="5">
        <f t="shared" si="4"/>
        <v>45899</v>
      </c>
      <c r="L57" s="21">
        <f t="shared" si="5"/>
        <v>19.153299999999998</v>
      </c>
      <c r="M57" s="21">
        <f t="shared" si="1"/>
        <v>408.5</v>
      </c>
      <c r="N57" s="21">
        <f t="shared" si="6"/>
        <v>61.050000000000004</v>
      </c>
      <c r="O57" s="21">
        <f t="shared" si="7"/>
        <v>28.172999999999998</v>
      </c>
      <c r="P57" s="21">
        <f t="shared" si="8"/>
        <v>-12.255000000000001</v>
      </c>
      <c r="Q57" s="21">
        <f t="shared" si="2"/>
        <v>0</v>
      </c>
      <c r="R57" s="21">
        <f t="shared" si="9"/>
        <v>-13464.5969</v>
      </c>
    </row>
    <row r="58" spans="2:18" x14ac:dyDescent="0.3">
      <c r="B58" s="30">
        <v>92.5</v>
      </c>
      <c r="D58" s="15">
        <f t="shared" si="10"/>
        <v>45900</v>
      </c>
      <c r="E58" s="30">
        <v>95</v>
      </c>
      <c r="F58" s="16"/>
      <c r="G58" s="28">
        <v>3.9583333333333335</v>
      </c>
      <c r="H58" s="16"/>
      <c r="I58" s="28">
        <f t="shared" ref="I58" si="11">IF(G58="", "", MIN($E$18, IF(MAX($G$28:$G$58)&gt;$E$17, MAX($G$28:$G$58), G58)))</f>
        <v>3.9583333333333335</v>
      </c>
      <c r="K58" s="5">
        <f t="shared" si="4"/>
        <v>45900</v>
      </c>
      <c r="L58" s="21">
        <f t="shared" si="5"/>
        <v>19.153299999999998</v>
      </c>
      <c r="M58" s="21">
        <f t="shared" ref="M58" si="12">ROUNDUP(E58*$D$8,4)</f>
        <v>408.5</v>
      </c>
      <c r="N58" s="21">
        <f t="shared" si="6"/>
        <v>61.050000000000004</v>
      </c>
      <c r="O58" s="21">
        <f t="shared" ref="O58" si="13">ROUNDUP($D$11*(M58+N58),4)</f>
        <v>28.172999999999998</v>
      </c>
      <c r="P58" s="21">
        <f t="shared" ref="P58" si="14">ROUNDUP(-M58*$D$10,4)</f>
        <v>-12.255000000000001</v>
      </c>
      <c r="Q58" s="21">
        <f t="shared" ref="Q58" si="15">IF(G58&gt;=$E$19,1.5*$D$7*(G58-$E$18),0)</f>
        <v>0</v>
      </c>
      <c r="R58" s="21">
        <f t="shared" ref="R58" si="16">ROUNDUP(R57-(L58+M58+N58+O58+P58+Q58),4)</f>
        <v>-13969.218199999999</v>
      </c>
    </row>
    <row r="59" spans="2:18" x14ac:dyDescent="0.3">
      <c r="K59" s="5"/>
      <c r="L59" s="21"/>
      <c r="M59" s="21"/>
      <c r="N59" s="21"/>
      <c r="O59" s="21"/>
      <c r="P59" s="21"/>
      <c r="Q59" s="21"/>
      <c r="R59" s="21"/>
    </row>
    <row r="60" spans="2:18" x14ac:dyDescent="0.3">
      <c r="F60" s="17"/>
      <c r="L60" s="21"/>
      <c r="M60" s="21"/>
      <c r="N60" s="21"/>
      <c r="O60" s="21"/>
      <c r="P60" s="21"/>
      <c r="Q60" s="21"/>
      <c r="R60" s="21"/>
    </row>
    <row r="61" spans="2:18" x14ac:dyDescent="0.3">
      <c r="K61" s="23" t="s">
        <v>52</v>
      </c>
      <c r="L61" s="21"/>
      <c r="M61" s="21">
        <f>SUM(L28:L59)</f>
        <v>532.66300000000001</v>
      </c>
      <c r="N61" s="21"/>
      <c r="O61" s="21"/>
      <c r="P61" s="21"/>
      <c r="Q61" s="21"/>
      <c r="R61" s="21"/>
    </row>
    <row r="62" spans="2:18" x14ac:dyDescent="0.3">
      <c r="K62" s="23" t="s">
        <v>53</v>
      </c>
      <c r="L62" s="21"/>
      <c r="M62" s="21">
        <f>SUM(M28:M59)</f>
        <v>11330.499999999996</v>
      </c>
      <c r="N62" s="21"/>
      <c r="O62" s="21"/>
      <c r="P62" s="21"/>
      <c r="Q62" s="21"/>
      <c r="R62" s="21"/>
    </row>
    <row r="63" spans="2:18" x14ac:dyDescent="0.3">
      <c r="K63" s="23" t="s">
        <v>54</v>
      </c>
      <c r="L63" s="21"/>
      <c r="M63" s="21">
        <f>SUM(N28:N59)</f>
        <v>1666.1699999999998</v>
      </c>
      <c r="N63" s="21"/>
      <c r="O63" s="21"/>
      <c r="P63" s="21"/>
      <c r="Q63" s="21"/>
      <c r="R63" s="21"/>
    </row>
    <row r="64" spans="2:18" x14ac:dyDescent="0.3">
      <c r="K64" s="23" t="s">
        <v>55</v>
      </c>
      <c r="L64" s="21"/>
      <c r="M64" s="21">
        <f>SUM(O28:O59)</f>
        <v>779.80019999999979</v>
      </c>
      <c r="N64" s="21"/>
      <c r="O64" s="21"/>
      <c r="P64" s="21"/>
      <c r="Q64" s="21"/>
      <c r="R64" s="21"/>
    </row>
    <row r="65" spans="11:18" x14ac:dyDescent="0.3">
      <c r="K65" s="23" t="s">
        <v>14</v>
      </c>
      <c r="L65" s="21"/>
      <c r="M65" s="21">
        <f>SUM(P28:P59)</f>
        <v>-339.91499999999996</v>
      </c>
      <c r="N65" s="21"/>
      <c r="O65" s="21"/>
      <c r="P65" s="21"/>
      <c r="Q65" s="21"/>
      <c r="R65" s="21"/>
    </row>
    <row r="66" spans="11:18" x14ac:dyDescent="0.3">
      <c r="K66" s="24" t="s">
        <v>18</v>
      </c>
      <c r="L66" s="29"/>
      <c r="M66" s="29">
        <f>SUM(Q28:Q59)</f>
        <v>0</v>
      </c>
      <c r="N66" s="21"/>
      <c r="O66" s="21"/>
      <c r="P66" s="21"/>
      <c r="Q66" s="21"/>
      <c r="R66" s="21"/>
    </row>
    <row r="67" spans="11:18" x14ac:dyDescent="0.3">
      <c r="K67" s="23" t="s">
        <v>56</v>
      </c>
      <c r="L67" s="21"/>
      <c r="M67" s="22">
        <f>SUM(M61:M66)</f>
        <v>13969.218199999996</v>
      </c>
      <c r="N67" s="21"/>
      <c r="O67" s="21"/>
      <c r="P67" s="21"/>
      <c r="Q67" s="21"/>
      <c r="R67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6450-E92A-4885-9800-4A6E793CF9AE}">
  <sheetPr>
    <tabColor rgb="FF002060"/>
  </sheetPr>
  <dimension ref="A1:S67"/>
  <sheetViews>
    <sheetView showGridLines="0" topLeftCell="A14" zoomScale="90" zoomScaleNormal="90" workbookViewId="0">
      <selection activeCell="K28" sqref="K28"/>
    </sheetView>
  </sheetViews>
  <sheetFormatPr defaultRowHeight="14.4" x14ac:dyDescent="0.3"/>
  <cols>
    <col min="1" max="1" width="13.44140625" customWidth="1"/>
    <col min="2" max="2" width="44.109375" customWidth="1"/>
    <col min="3" max="3" width="13.6640625" customWidth="1"/>
    <col min="4" max="4" width="13.33203125" customWidth="1"/>
    <col min="5" max="5" width="14.44140625" customWidth="1"/>
    <col min="6" max="6" width="14" customWidth="1"/>
    <col min="7" max="7" width="11" bestFit="1" customWidth="1"/>
    <col min="8" max="8" width="12.109375" customWidth="1"/>
    <col min="9" max="9" width="13.44140625" customWidth="1"/>
    <col min="10" max="10" width="12.5546875" customWidth="1"/>
    <col min="11" max="11" width="19.5546875" customWidth="1"/>
    <col min="12" max="12" width="13.6640625" customWidth="1"/>
    <col min="13" max="13" width="11.6640625" customWidth="1"/>
    <col min="14" max="14" width="11.33203125" customWidth="1"/>
    <col min="15" max="15" width="11.6640625" customWidth="1"/>
    <col min="16" max="16" width="24.6640625" customWidth="1"/>
    <col min="17" max="17" width="11.88671875" customWidth="1"/>
    <col min="18" max="18" width="13.5546875" customWidth="1"/>
    <col min="20" max="20" width="12.109375" customWidth="1"/>
    <col min="22" max="23" width="17.88671875" customWidth="1"/>
    <col min="24" max="24" width="14.33203125" customWidth="1"/>
    <col min="25" max="25" width="18.88671875" bestFit="1" customWidth="1"/>
    <col min="26" max="26" width="17.6640625" bestFit="1" customWidth="1"/>
  </cols>
  <sheetData>
    <row r="1" spans="1:19" x14ac:dyDescent="0.3">
      <c r="A1" s="50" t="s">
        <v>57</v>
      </c>
      <c r="B1" s="25" t="s">
        <v>58</v>
      </c>
      <c r="C1" s="25"/>
      <c r="D1" s="25"/>
      <c r="E1" s="25"/>
      <c r="F1" s="37"/>
      <c r="G1" s="37"/>
    </row>
    <row r="4" spans="1:19" x14ac:dyDescent="0.3">
      <c r="B4" s="36" t="s">
        <v>2</v>
      </c>
      <c r="C4" s="25"/>
    </row>
    <row r="5" spans="1:19" x14ac:dyDescent="0.3">
      <c r="B5" s="49" t="s">
        <v>3</v>
      </c>
      <c r="C5" s="49" t="s">
        <v>4</v>
      </c>
      <c r="D5" s="49" t="s">
        <v>5</v>
      </c>
      <c r="E5" s="49"/>
      <c r="F5" s="49"/>
      <c r="G5" s="49"/>
    </row>
    <row r="6" spans="1:19" x14ac:dyDescent="0.3">
      <c r="B6" s="6" t="s">
        <v>6</v>
      </c>
      <c r="C6" s="12">
        <v>10</v>
      </c>
      <c r="D6" s="11" t="s">
        <v>7</v>
      </c>
      <c r="E6" s="11"/>
      <c r="F6" s="11"/>
      <c r="G6" s="11"/>
    </row>
    <row r="7" spans="1:19" ht="15" customHeight="1" x14ac:dyDescent="0.3">
      <c r="B7" s="8" t="s">
        <v>8</v>
      </c>
      <c r="C7" s="31">
        <v>150</v>
      </c>
      <c r="D7" s="4" t="s">
        <v>9</v>
      </c>
      <c r="E7" s="3"/>
      <c r="F7" s="3"/>
      <c r="G7" s="3"/>
      <c r="S7" s="1"/>
    </row>
    <row r="8" spans="1:19" x14ac:dyDescent="0.3">
      <c r="B8" s="8" t="s">
        <v>10</v>
      </c>
      <c r="C8" s="31">
        <v>4.3</v>
      </c>
      <c r="D8" s="3" t="s">
        <v>11</v>
      </c>
      <c r="E8" s="3"/>
      <c r="F8" s="3"/>
      <c r="G8" s="3"/>
    </row>
    <row r="9" spans="1:19" ht="16.95" customHeight="1" x14ac:dyDescent="0.3">
      <c r="B9" s="8" t="s">
        <v>12</v>
      </c>
      <c r="C9" s="31">
        <v>0.66</v>
      </c>
      <c r="D9" s="3" t="s">
        <v>13</v>
      </c>
      <c r="E9" s="4"/>
      <c r="F9" s="4"/>
      <c r="G9" s="4"/>
    </row>
    <row r="10" spans="1:19" ht="15.6" customHeight="1" x14ac:dyDescent="0.3">
      <c r="B10" s="8" t="s">
        <v>14</v>
      </c>
      <c r="C10" s="34">
        <v>0.03</v>
      </c>
      <c r="D10" s="4" t="s">
        <v>15</v>
      </c>
      <c r="E10" s="4"/>
      <c r="F10" s="4"/>
      <c r="G10" s="4"/>
    </row>
    <row r="11" spans="1:19" ht="28.8" x14ac:dyDescent="0.3">
      <c r="B11" s="8" t="s">
        <v>16</v>
      </c>
      <c r="C11" s="34">
        <v>0.06</v>
      </c>
      <c r="D11" s="4" t="s">
        <v>17</v>
      </c>
      <c r="E11" s="4"/>
      <c r="F11" s="4"/>
      <c r="G11" s="4"/>
    </row>
    <row r="12" spans="1:19" x14ac:dyDescent="0.3">
      <c r="B12" s="8" t="s">
        <v>18</v>
      </c>
      <c r="C12" s="31">
        <v>1.5</v>
      </c>
      <c r="D12" s="3" t="s">
        <v>19</v>
      </c>
      <c r="E12" s="4"/>
      <c r="F12" s="4"/>
      <c r="G12" s="4"/>
    </row>
    <row r="13" spans="1:19" x14ac:dyDescent="0.3">
      <c r="B13" s="8" t="s">
        <v>20</v>
      </c>
      <c r="C13" s="44">
        <v>45870</v>
      </c>
      <c r="D13" s="3"/>
      <c r="E13" s="3"/>
      <c r="F13" s="3"/>
      <c r="G13" s="3"/>
    </row>
    <row r="14" spans="1:19" x14ac:dyDescent="0.3">
      <c r="B14" s="8" t="s">
        <v>21</v>
      </c>
      <c r="C14" s="45">
        <f>DAY(EOMONTH(C13,0))</f>
        <v>31</v>
      </c>
    </row>
    <row r="16" spans="1:19" x14ac:dyDescent="0.3">
      <c r="B16" s="20" t="s">
        <v>22</v>
      </c>
      <c r="C16" s="20" t="s">
        <v>23</v>
      </c>
      <c r="D16" s="20" t="s">
        <v>24</v>
      </c>
    </row>
    <row r="17" spans="1:18" x14ac:dyDescent="0.3">
      <c r="B17" s="3" t="s">
        <v>25</v>
      </c>
      <c r="C17" s="35">
        <f>50%*C6</f>
        <v>5</v>
      </c>
      <c r="D17" s="46">
        <f>C17*$D$24</f>
        <v>4.25</v>
      </c>
    </row>
    <row r="18" spans="1:18" x14ac:dyDescent="0.3">
      <c r="B18" s="3" t="s">
        <v>26</v>
      </c>
      <c r="C18" s="35">
        <v>10</v>
      </c>
      <c r="D18" s="46">
        <f t="shared" ref="D18:D19" si="0">C18*$D$24</f>
        <v>8.5</v>
      </c>
    </row>
    <row r="19" spans="1:18" x14ac:dyDescent="0.3">
      <c r="B19" s="3" t="s">
        <v>27</v>
      </c>
      <c r="C19" s="35">
        <f>110%*C18</f>
        <v>11</v>
      </c>
      <c r="D19" s="46">
        <f t="shared" si="0"/>
        <v>9.35</v>
      </c>
    </row>
    <row r="20" spans="1:18" x14ac:dyDescent="0.3">
      <c r="B20" s="3"/>
      <c r="C20" s="13"/>
      <c r="D20" s="14"/>
      <c r="P20" s="41"/>
    </row>
    <row r="22" spans="1:18" x14ac:dyDescent="0.3">
      <c r="C22" s="36" t="s">
        <v>28</v>
      </c>
      <c r="D22" s="33"/>
      <c r="E22" s="32"/>
      <c r="J22" s="2"/>
    </row>
    <row r="23" spans="1:18" x14ac:dyDescent="0.3">
      <c r="C23" t="s">
        <v>29</v>
      </c>
      <c r="D23" s="27">
        <v>24</v>
      </c>
      <c r="J23" s="2" t="s">
        <v>30</v>
      </c>
    </row>
    <row r="24" spans="1:18" x14ac:dyDescent="0.3">
      <c r="C24" t="s">
        <v>31</v>
      </c>
      <c r="D24" s="27">
        <v>0.85</v>
      </c>
      <c r="J24" s="9"/>
      <c r="K24" s="10"/>
      <c r="L24" s="10"/>
      <c r="M24" s="10"/>
    </row>
    <row r="25" spans="1:18" ht="42" customHeight="1" x14ac:dyDescent="0.3">
      <c r="J25" s="42"/>
      <c r="K25" s="43" t="s">
        <v>32</v>
      </c>
      <c r="L25" s="43" t="s">
        <v>33</v>
      </c>
      <c r="M25" s="43" t="s">
        <v>34</v>
      </c>
      <c r="N25" s="43" t="s">
        <v>35</v>
      </c>
      <c r="O25" s="43" t="s">
        <v>14</v>
      </c>
      <c r="P25" s="43" t="s">
        <v>18</v>
      </c>
      <c r="Q25" s="43" t="s">
        <v>36</v>
      </c>
    </row>
    <row r="26" spans="1:18" ht="42" customHeight="1" x14ac:dyDescent="0.3">
      <c r="A26" s="38" t="s">
        <v>37</v>
      </c>
      <c r="D26" s="38" t="s">
        <v>37</v>
      </c>
      <c r="E26" s="38"/>
      <c r="F26" s="38" t="s">
        <v>38</v>
      </c>
      <c r="G26" s="38"/>
      <c r="H26" s="38" t="s">
        <v>39</v>
      </c>
      <c r="I26" s="26" t="s">
        <v>40</v>
      </c>
      <c r="J26" s="42"/>
      <c r="K26" s="39" t="s">
        <v>41</v>
      </c>
      <c r="L26" s="39" t="s">
        <v>42</v>
      </c>
      <c r="M26" s="39" t="s">
        <v>43</v>
      </c>
      <c r="N26" s="40" t="s">
        <v>44</v>
      </c>
      <c r="O26" s="40" t="s">
        <v>45</v>
      </c>
      <c r="P26" s="39" t="s">
        <v>46</v>
      </c>
      <c r="Q26" s="43"/>
    </row>
    <row r="27" spans="1:18" ht="28.8" x14ac:dyDescent="0.3">
      <c r="A27" s="19" t="s">
        <v>47</v>
      </c>
      <c r="C27" s="18" t="s">
        <v>48</v>
      </c>
      <c r="D27" s="19" t="s">
        <v>49</v>
      </c>
      <c r="E27" s="19"/>
      <c r="F27" s="19" t="s">
        <v>50</v>
      </c>
      <c r="G27" s="19"/>
      <c r="H27" s="19" t="s">
        <v>51</v>
      </c>
      <c r="J27" s="6"/>
      <c r="K27" s="7"/>
      <c r="L27" s="7"/>
      <c r="M27" s="7"/>
      <c r="N27" s="7"/>
      <c r="O27" s="7"/>
      <c r="P27" s="7"/>
      <c r="Q27" s="7">
        <v>0</v>
      </c>
    </row>
    <row r="28" spans="1:18" x14ac:dyDescent="0.3">
      <c r="A28" s="30">
        <v>41.5</v>
      </c>
      <c r="C28" s="15">
        <f>C13</f>
        <v>45870</v>
      </c>
      <c r="D28" s="30">
        <v>45</v>
      </c>
      <c r="E28" s="16"/>
      <c r="F28" s="28">
        <v>1.875</v>
      </c>
      <c r="G28" s="16"/>
      <c r="H28" s="47">
        <f>IF(F28="", "", MIN($D$18, IF(MAX($F$28:$F$57)&gt;$D$17, MAX($F$28:$F$57), F28)))</f>
        <v>8.4499999999999993</v>
      </c>
      <c r="J28" s="5">
        <f>C28</f>
        <v>45870</v>
      </c>
      <c r="K28" s="51">
        <f>ROUNDUP(H28*($C$7/$C$14),4)</f>
        <v>40.887100000000004</v>
      </c>
      <c r="L28" s="21">
        <f t="shared" ref="L28:L58" si="1">ROUNDUP(D28*$C$8,4)</f>
        <v>193.5</v>
      </c>
      <c r="M28" s="21">
        <f>A28*$C$9</f>
        <v>27.39</v>
      </c>
      <c r="N28" s="21">
        <f>ROUNDUP($C$11*(L28+M28),4)</f>
        <v>13.253399999999999</v>
      </c>
      <c r="O28" s="21">
        <f>ROUNDUP(-L28*$C$10,4)</f>
        <v>-5.8049999999999997</v>
      </c>
      <c r="P28" s="21">
        <f t="shared" ref="P28:P58" si="2">IF(F28&gt;=$D$19,1.5*$C$7*(F28-$D$18),0)</f>
        <v>0</v>
      </c>
      <c r="Q28" s="21">
        <f>ROUNDUP(Q27-(K28+L28+M28+N28+O28+P28),4)</f>
        <v>-269.22550000000001</v>
      </c>
      <c r="R28" s="48">
        <f>Q28-'Scenario 1'!R28</f>
        <v>-31.81450000000001</v>
      </c>
    </row>
    <row r="29" spans="1:18" x14ac:dyDescent="0.3">
      <c r="A29" s="30">
        <v>51.5</v>
      </c>
      <c r="C29" s="15">
        <f>C28+1</f>
        <v>45871</v>
      </c>
      <c r="D29" s="30">
        <v>55</v>
      </c>
      <c r="E29" s="16"/>
      <c r="F29" s="28">
        <v>2.2916666666666665</v>
      </c>
      <c r="G29" s="16"/>
      <c r="H29" s="47">
        <f t="shared" ref="H29:H58" si="3">IF(F29="", "", MIN($D$18, IF(MAX($F$28:$F$58)&gt;$D$17, MAX($F$28:$F$58), F29)))</f>
        <v>8.4499999999999993</v>
      </c>
      <c r="J29" s="5">
        <f t="shared" ref="J29:J58" si="4">J28+1</f>
        <v>45871</v>
      </c>
      <c r="K29" s="51">
        <f t="shared" ref="K29:K58" si="5">ROUNDUP(H29*($C$7/$C$14),4)</f>
        <v>40.887100000000004</v>
      </c>
      <c r="L29" s="21">
        <f t="shared" si="1"/>
        <v>236.5</v>
      </c>
      <c r="M29" s="21">
        <f t="shared" ref="M29:M58" si="6">A29*$C$9</f>
        <v>33.99</v>
      </c>
      <c r="N29" s="21">
        <f t="shared" ref="N29:N58" si="7">ROUNDUP($C$11*(L29+M29),4)</f>
        <v>16.229399999999998</v>
      </c>
      <c r="O29" s="21">
        <f t="shared" ref="O29:O58" si="8">ROUNDUP(-L29*$C$10,4)</f>
        <v>-7.0949999999999998</v>
      </c>
      <c r="P29" s="21">
        <f t="shared" si="2"/>
        <v>0</v>
      </c>
      <c r="Q29" s="21">
        <f t="shared" ref="Q29:Q58" si="9">ROUNDUP(Q28-(K29+L29+M29+N29+O29+P29),4)</f>
        <v>-589.73699999999997</v>
      </c>
      <c r="R29" s="48">
        <f>Q29-'Scenario 1'!R29</f>
        <v>-61.612799999999993</v>
      </c>
    </row>
    <row r="30" spans="1:18" x14ac:dyDescent="0.3">
      <c r="A30" s="30">
        <v>68.5</v>
      </c>
      <c r="C30" s="15">
        <f t="shared" ref="C30:C58" si="10">C29+1</f>
        <v>45872</v>
      </c>
      <c r="D30" s="30">
        <v>72</v>
      </c>
      <c r="E30" s="16"/>
      <c r="F30" s="28">
        <v>3</v>
      </c>
      <c r="G30" s="16"/>
      <c r="H30" s="47">
        <f t="shared" si="3"/>
        <v>8.4499999999999993</v>
      </c>
      <c r="J30" s="5">
        <f t="shared" si="4"/>
        <v>45872</v>
      </c>
      <c r="K30" s="51">
        <f t="shared" si="5"/>
        <v>40.887100000000004</v>
      </c>
      <c r="L30" s="21">
        <f t="shared" si="1"/>
        <v>309.60000000000002</v>
      </c>
      <c r="M30" s="21">
        <f t="shared" si="6"/>
        <v>45.21</v>
      </c>
      <c r="N30" s="21">
        <f t="shared" si="7"/>
        <v>21.288599999999999</v>
      </c>
      <c r="O30" s="21">
        <f t="shared" si="8"/>
        <v>-9.2880000000000003</v>
      </c>
      <c r="P30" s="21">
        <f t="shared" si="2"/>
        <v>0</v>
      </c>
      <c r="Q30" s="21">
        <f t="shared" si="9"/>
        <v>-997.43470000000002</v>
      </c>
      <c r="R30" s="48">
        <f>Q30-'Scenario 1'!R30</f>
        <v>-87.983699999999999</v>
      </c>
    </row>
    <row r="31" spans="1:18" x14ac:dyDescent="0.3">
      <c r="A31" s="30">
        <v>81.5</v>
      </c>
      <c r="C31" s="15">
        <f t="shared" si="10"/>
        <v>45873</v>
      </c>
      <c r="D31" s="30">
        <v>85</v>
      </c>
      <c r="E31" s="16"/>
      <c r="F31" s="28">
        <v>3.5416666666666665</v>
      </c>
      <c r="G31" s="16"/>
      <c r="H31" s="47">
        <f t="shared" si="3"/>
        <v>8.4499999999999993</v>
      </c>
      <c r="J31" s="5">
        <f t="shared" si="4"/>
        <v>45873</v>
      </c>
      <c r="K31" s="51">
        <f t="shared" si="5"/>
        <v>40.887100000000004</v>
      </c>
      <c r="L31" s="21">
        <f t="shared" si="1"/>
        <v>365.5</v>
      </c>
      <c r="M31" s="21">
        <f t="shared" si="6"/>
        <v>53.79</v>
      </c>
      <c r="N31" s="21">
        <f t="shared" si="7"/>
        <v>25.157399999999999</v>
      </c>
      <c r="O31" s="21">
        <f t="shared" si="8"/>
        <v>-10.965</v>
      </c>
      <c r="P31" s="21">
        <f t="shared" si="2"/>
        <v>0</v>
      </c>
      <c r="Q31" s="21">
        <f t="shared" si="9"/>
        <v>-1471.8042</v>
      </c>
      <c r="R31" s="48">
        <f>Q31-'Scenario 1'!R31</f>
        <v>-111.7337</v>
      </c>
    </row>
    <row r="32" spans="1:18" x14ac:dyDescent="0.3">
      <c r="A32" s="30">
        <v>61.5</v>
      </c>
      <c r="C32" s="15">
        <f t="shared" si="10"/>
        <v>45874</v>
      </c>
      <c r="D32" s="30">
        <v>65</v>
      </c>
      <c r="E32" s="16"/>
      <c r="F32" s="28">
        <v>2.7083333333333335</v>
      </c>
      <c r="G32" s="16"/>
      <c r="H32" s="47">
        <f t="shared" si="3"/>
        <v>8.4499999999999993</v>
      </c>
      <c r="J32" s="5">
        <f>J31+1</f>
        <v>45874</v>
      </c>
      <c r="K32" s="51">
        <f t="shared" si="5"/>
        <v>40.887100000000004</v>
      </c>
      <c r="L32" s="21">
        <f t="shared" si="1"/>
        <v>279.5</v>
      </c>
      <c r="M32" s="21">
        <f t="shared" si="6"/>
        <v>40.590000000000003</v>
      </c>
      <c r="N32" s="21">
        <f t="shared" si="7"/>
        <v>19.205400000000001</v>
      </c>
      <c r="O32" s="21">
        <f t="shared" si="8"/>
        <v>-8.3849999999999998</v>
      </c>
      <c r="P32" s="21">
        <f t="shared" si="2"/>
        <v>0</v>
      </c>
      <c r="Q32" s="21">
        <f t="shared" si="9"/>
        <v>-1843.6016999999999</v>
      </c>
      <c r="R32" s="48">
        <f>Q32-'Scenario 1'!R32</f>
        <v>-139.51589999999987</v>
      </c>
    </row>
    <row r="33" spans="1:17" x14ac:dyDescent="0.3">
      <c r="A33" s="30">
        <v>78.5</v>
      </c>
      <c r="C33" s="15">
        <f t="shared" si="10"/>
        <v>45875</v>
      </c>
      <c r="D33" s="30">
        <v>82</v>
      </c>
      <c r="E33" s="16"/>
      <c r="F33" s="47">
        <v>8.25</v>
      </c>
      <c r="G33" s="16"/>
      <c r="H33" s="47">
        <f t="shared" si="3"/>
        <v>8.4499999999999993</v>
      </c>
      <c r="J33" s="5">
        <f t="shared" si="4"/>
        <v>45875</v>
      </c>
      <c r="K33" s="51">
        <f t="shared" si="5"/>
        <v>40.887100000000004</v>
      </c>
      <c r="L33" s="21">
        <f t="shared" si="1"/>
        <v>352.6</v>
      </c>
      <c r="M33" s="21">
        <f t="shared" si="6"/>
        <v>51.81</v>
      </c>
      <c r="N33" s="21">
        <f t="shared" si="7"/>
        <v>24.264600000000002</v>
      </c>
      <c r="O33" s="21">
        <f t="shared" si="8"/>
        <v>-10.577999999999999</v>
      </c>
      <c r="P33" s="21">
        <f t="shared" si="2"/>
        <v>0</v>
      </c>
      <c r="Q33" s="21">
        <f t="shared" si="9"/>
        <v>-2302.5853999999999</v>
      </c>
    </row>
    <row r="34" spans="1:17" x14ac:dyDescent="0.3">
      <c r="A34" s="30">
        <v>71.5</v>
      </c>
      <c r="C34" s="15">
        <f t="shared" si="10"/>
        <v>45876</v>
      </c>
      <c r="D34" s="30">
        <v>75</v>
      </c>
      <c r="E34" s="16"/>
      <c r="F34" s="28">
        <v>3.125</v>
      </c>
      <c r="G34" s="16"/>
      <c r="H34" s="47">
        <f t="shared" si="3"/>
        <v>8.4499999999999993</v>
      </c>
      <c r="J34" s="5">
        <f t="shared" si="4"/>
        <v>45876</v>
      </c>
      <c r="K34" s="51">
        <f t="shared" si="5"/>
        <v>40.887100000000004</v>
      </c>
      <c r="L34" s="21">
        <f t="shared" si="1"/>
        <v>322.5</v>
      </c>
      <c r="M34" s="21">
        <f t="shared" si="6"/>
        <v>47.190000000000005</v>
      </c>
      <c r="N34" s="21">
        <f t="shared" si="7"/>
        <v>22.1814</v>
      </c>
      <c r="O34" s="21">
        <f t="shared" si="8"/>
        <v>-9.6750000000000007</v>
      </c>
      <c r="P34" s="21">
        <f t="shared" si="2"/>
        <v>0</v>
      </c>
      <c r="Q34" s="21">
        <f t="shared" si="9"/>
        <v>-2725.6689000000001</v>
      </c>
    </row>
    <row r="35" spans="1:17" x14ac:dyDescent="0.3">
      <c r="A35" s="30">
        <v>91.5</v>
      </c>
      <c r="C35" s="15">
        <f t="shared" si="10"/>
        <v>45877</v>
      </c>
      <c r="D35" s="30">
        <v>95</v>
      </c>
      <c r="E35" s="16"/>
      <c r="F35" s="28">
        <v>3.9583333333333335</v>
      </c>
      <c r="G35" s="16"/>
      <c r="H35" s="47">
        <f t="shared" si="3"/>
        <v>8.4499999999999993</v>
      </c>
      <c r="J35" s="5">
        <f t="shared" si="4"/>
        <v>45877</v>
      </c>
      <c r="K35" s="51">
        <f t="shared" si="5"/>
        <v>40.887100000000004</v>
      </c>
      <c r="L35" s="21">
        <f t="shared" si="1"/>
        <v>408.5</v>
      </c>
      <c r="M35" s="21">
        <f t="shared" si="6"/>
        <v>60.39</v>
      </c>
      <c r="N35" s="21">
        <f t="shared" si="7"/>
        <v>28.133400000000002</v>
      </c>
      <c r="O35" s="21">
        <f t="shared" si="8"/>
        <v>-12.255000000000001</v>
      </c>
      <c r="P35" s="21">
        <f t="shared" si="2"/>
        <v>0</v>
      </c>
      <c r="Q35" s="21">
        <f t="shared" si="9"/>
        <v>-3251.3244</v>
      </c>
    </row>
    <row r="36" spans="1:17" x14ac:dyDescent="0.3">
      <c r="A36" s="30">
        <v>84.5</v>
      </c>
      <c r="C36" s="15">
        <f t="shared" si="10"/>
        <v>45878</v>
      </c>
      <c r="D36" s="30">
        <v>88</v>
      </c>
      <c r="E36" s="16"/>
      <c r="F36" s="47">
        <f>3.66666666666667*0+8.35</f>
        <v>8.35</v>
      </c>
      <c r="G36" s="16"/>
      <c r="H36" s="47">
        <f t="shared" si="3"/>
        <v>8.4499999999999993</v>
      </c>
      <c r="J36" s="5">
        <f t="shared" si="4"/>
        <v>45878</v>
      </c>
      <c r="K36" s="51">
        <f t="shared" si="5"/>
        <v>40.887100000000004</v>
      </c>
      <c r="L36" s="21">
        <f t="shared" si="1"/>
        <v>378.4</v>
      </c>
      <c r="M36" s="21">
        <f t="shared" si="6"/>
        <v>55.77</v>
      </c>
      <c r="N36" s="21">
        <f t="shared" si="7"/>
        <v>26.0502</v>
      </c>
      <c r="O36" s="21">
        <f t="shared" si="8"/>
        <v>-11.352</v>
      </c>
      <c r="P36" s="21">
        <f t="shared" si="2"/>
        <v>0</v>
      </c>
      <c r="Q36" s="21">
        <f t="shared" si="9"/>
        <v>-3741.0796999999998</v>
      </c>
    </row>
    <row r="37" spans="1:17" x14ac:dyDescent="0.3">
      <c r="A37" s="30">
        <v>93.5</v>
      </c>
      <c r="C37" s="15">
        <f t="shared" si="10"/>
        <v>45879</v>
      </c>
      <c r="D37" s="30">
        <v>98</v>
      </c>
      <c r="E37" s="16"/>
      <c r="F37" s="28">
        <v>4.083333333333333</v>
      </c>
      <c r="G37" s="16"/>
      <c r="H37" s="47">
        <f t="shared" si="3"/>
        <v>8.4499999999999993</v>
      </c>
      <c r="J37" s="5">
        <f t="shared" si="4"/>
        <v>45879</v>
      </c>
      <c r="K37" s="51">
        <f t="shared" si="5"/>
        <v>40.887100000000004</v>
      </c>
      <c r="L37" s="21">
        <f t="shared" si="1"/>
        <v>421.4</v>
      </c>
      <c r="M37" s="21">
        <f t="shared" si="6"/>
        <v>61.71</v>
      </c>
      <c r="N37" s="21">
        <f t="shared" si="7"/>
        <v>28.986599999999999</v>
      </c>
      <c r="O37" s="21">
        <f t="shared" si="8"/>
        <v>-12.641999999999999</v>
      </c>
      <c r="P37" s="21">
        <f t="shared" si="2"/>
        <v>0</v>
      </c>
      <c r="Q37" s="21">
        <f t="shared" si="9"/>
        <v>-4281.4214000000002</v>
      </c>
    </row>
    <row r="38" spans="1:17" x14ac:dyDescent="0.3">
      <c r="A38" s="30">
        <v>90.5</v>
      </c>
      <c r="C38" s="15">
        <f t="shared" si="10"/>
        <v>45880</v>
      </c>
      <c r="D38" s="30">
        <v>95</v>
      </c>
      <c r="E38" s="16"/>
      <c r="F38" s="28">
        <v>3.9583333333333335</v>
      </c>
      <c r="G38" s="16"/>
      <c r="H38" s="47">
        <f t="shared" si="3"/>
        <v>8.4499999999999993</v>
      </c>
      <c r="J38" s="5">
        <f t="shared" si="4"/>
        <v>45880</v>
      </c>
      <c r="K38" s="51">
        <f t="shared" si="5"/>
        <v>40.887100000000004</v>
      </c>
      <c r="L38" s="21">
        <f t="shared" si="1"/>
        <v>408.5</v>
      </c>
      <c r="M38" s="21">
        <f t="shared" si="6"/>
        <v>59.730000000000004</v>
      </c>
      <c r="N38" s="21">
        <f t="shared" si="7"/>
        <v>28.093800000000002</v>
      </c>
      <c r="O38" s="21">
        <f t="shared" si="8"/>
        <v>-12.255000000000001</v>
      </c>
      <c r="P38" s="21">
        <f t="shared" si="2"/>
        <v>0</v>
      </c>
      <c r="Q38" s="21">
        <f t="shared" si="9"/>
        <v>-4806.3773000000001</v>
      </c>
    </row>
    <row r="39" spans="1:17" x14ac:dyDescent="0.3">
      <c r="A39" s="30">
        <v>70.5</v>
      </c>
      <c r="C39" s="15">
        <f t="shared" si="10"/>
        <v>45881</v>
      </c>
      <c r="D39" s="30">
        <v>75</v>
      </c>
      <c r="E39" s="16"/>
      <c r="F39" s="28">
        <v>3.125</v>
      </c>
      <c r="G39" s="16"/>
      <c r="H39" s="47">
        <f t="shared" si="3"/>
        <v>8.4499999999999993</v>
      </c>
      <c r="J39" s="5">
        <f t="shared" si="4"/>
        <v>45881</v>
      </c>
      <c r="K39" s="51">
        <f t="shared" si="5"/>
        <v>40.887100000000004</v>
      </c>
      <c r="L39" s="21">
        <f t="shared" si="1"/>
        <v>322.5</v>
      </c>
      <c r="M39" s="21">
        <f t="shared" si="6"/>
        <v>46.53</v>
      </c>
      <c r="N39" s="21">
        <f t="shared" si="7"/>
        <v>22.1418</v>
      </c>
      <c r="O39" s="21">
        <f t="shared" si="8"/>
        <v>-9.6750000000000007</v>
      </c>
      <c r="P39" s="21">
        <f t="shared" si="2"/>
        <v>0</v>
      </c>
      <c r="Q39" s="21">
        <f t="shared" si="9"/>
        <v>-5228.7611999999999</v>
      </c>
    </row>
    <row r="40" spans="1:17" x14ac:dyDescent="0.3">
      <c r="A40" s="30">
        <v>60.5</v>
      </c>
      <c r="C40" s="15">
        <f t="shared" si="10"/>
        <v>45882</v>
      </c>
      <c r="D40" s="30">
        <v>65</v>
      </c>
      <c r="E40" s="16"/>
      <c r="F40" s="28">
        <v>2.7083333333333335</v>
      </c>
      <c r="G40" s="16"/>
      <c r="H40" s="47">
        <f t="shared" si="3"/>
        <v>8.4499999999999993</v>
      </c>
      <c r="J40" s="5">
        <f t="shared" si="4"/>
        <v>45882</v>
      </c>
      <c r="K40" s="51">
        <f t="shared" si="5"/>
        <v>40.887100000000004</v>
      </c>
      <c r="L40" s="21">
        <f t="shared" si="1"/>
        <v>279.5</v>
      </c>
      <c r="M40" s="21">
        <f t="shared" si="6"/>
        <v>39.93</v>
      </c>
      <c r="N40" s="21">
        <f t="shared" si="7"/>
        <v>19.165800000000001</v>
      </c>
      <c r="O40" s="21">
        <f t="shared" si="8"/>
        <v>-8.3849999999999998</v>
      </c>
      <c r="P40" s="21">
        <f t="shared" si="2"/>
        <v>0</v>
      </c>
      <c r="Q40" s="21">
        <f t="shared" si="9"/>
        <v>-5599.8590999999997</v>
      </c>
    </row>
    <row r="41" spans="1:17" x14ac:dyDescent="0.3">
      <c r="A41" s="30">
        <v>70.5</v>
      </c>
      <c r="C41" s="15">
        <f t="shared" si="10"/>
        <v>45883</v>
      </c>
      <c r="D41" s="30">
        <v>75</v>
      </c>
      <c r="E41" s="16"/>
      <c r="F41" s="28">
        <v>3.125</v>
      </c>
      <c r="G41" s="16"/>
      <c r="H41" s="47">
        <f t="shared" si="3"/>
        <v>8.4499999999999993</v>
      </c>
      <c r="J41" s="5">
        <f t="shared" si="4"/>
        <v>45883</v>
      </c>
      <c r="K41" s="51">
        <f t="shared" si="5"/>
        <v>40.887100000000004</v>
      </c>
      <c r="L41" s="21">
        <f t="shared" si="1"/>
        <v>322.5</v>
      </c>
      <c r="M41" s="21">
        <f t="shared" si="6"/>
        <v>46.53</v>
      </c>
      <c r="N41" s="21">
        <f t="shared" si="7"/>
        <v>22.1418</v>
      </c>
      <c r="O41" s="21">
        <f t="shared" si="8"/>
        <v>-9.6750000000000007</v>
      </c>
      <c r="P41" s="21">
        <f t="shared" si="2"/>
        <v>0</v>
      </c>
      <c r="Q41" s="21">
        <f t="shared" si="9"/>
        <v>-6022.2430000000004</v>
      </c>
    </row>
    <row r="42" spans="1:17" x14ac:dyDescent="0.3">
      <c r="A42" s="30">
        <v>90.5</v>
      </c>
      <c r="C42" s="15">
        <f t="shared" si="10"/>
        <v>45884</v>
      </c>
      <c r="D42" s="30">
        <v>95</v>
      </c>
      <c r="E42" s="16"/>
      <c r="F42" s="28">
        <v>3.9583333333333335</v>
      </c>
      <c r="G42" s="16"/>
      <c r="H42" s="47">
        <f t="shared" si="3"/>
        <v>8.4499999999999993</v>
      </c>
      <c r="J42" s="5">
        <f t="shared" si="4"/>
        <v>45884</v>
      </c>
      <c r="K42" s="51">
        <f t="shared" si="5"/>
        <v>40.887100000000004</v>
      </c>
      <c r="L42" s="21">
        <f t="shared" si="1"/>
        <v>408.5</v>
      </c>
      <c r="M42" s="21">
        <f t="shared" si="6"/>
        <v>59.730000000000004</v>
      </c>
      <c r="N42" s="21">
        <f t="shared" si="7"/>
        <v>28.093800000000002</v>
      </c>
      <c r="O42" s="21">
        <f t="shared" si="8"/>
        <v>-12.255000000000001</v>
      </c>
      <c r="P42" s="21">
        <f t="shared" si="2"/>
        <v>0</v>
      </c>
      <c r="Q42" s="21">
        <f t="shared" si="9"/>
        <v>-6547.1989000000003</v>
      </c>
    </row>
    <row r="43" spans="1:17" x14ac:dyDescent="0.3">
      <c r="A43" s="30">
        <v>80.5</v>
      </c>
      <c r="C43" s="15">
        <f t="shared" si="10"/>
        <v>45885</v>
      </c>
      <c r="D43" s="30">
        <v>85</v>
      </c>
      <c r="E43" s="16"/>
      <c r="F43" s="28">
        <v>3.5416666666666665</v>
      </c>
      <c r="G43" s="16"/>
      <c r="H43" s="47">
        <f t="shared" si="3"/>
        <v>8.4499999999999993</v>
      </c>
      <c r="J43" s="5">
        <f t="shared" si="4"/>
        <v>45885</v>
      </c>
      <c r="K43" s="51">
        <f t="shared" si="5"/>
        <v>40.887100000000004</v>
      </c>
      <c r="L43" s="21">
        <f t="shared" si="1"/>
        <v>365.5</v>
      </c>
      <c r="M43" s="21">
        <f t="shared" si="6"/>
        <v>53.13</v>
      </c>
      <c r="N43" s="21">
        <f t="shared" si="7"/>
        <v>25.117799999999999</v>
      </c>
      <c r="O43" s="21">
        <f t="shared" si="8"/>
        <v>-10.965</v>
      </c>
      <c r="P43" s="21">
        <f t="shared" si="2"/>
        <v>0</v>
      </c>
      <c r="Q43" s="21">
        <f t="shared" si="9"/>
        <v>-7020.8688000000002</v>
      </c>
    </row>
    <row r="44" spans="1:17" x14ac:dyDescent="0.3">
      <c r="A44" s="30">
        <v>83.5</v>
      </c>
      <c r="C44" s="15">
        <f t="shared" si="10"/>
        <v>45886</v>
      </c>
      <c r="D44" s="30">
        <v>88</v>
      </c>
      <c r="E44" s="16"/>
      <c r="F44" s="28">
        <v>3.6666666666666665</v>
      </c>
      <c r="G44" s="16"/>
      <c r="H44" s="47">
        <f t="shared" si="3"/>
        <v>8.4499999999999993</v>
      </c>
      <c r="J44" s="5">
        <f t="shared" si="4"/>
        <v>45886</v>
      </c>
      <c r="K44" s="51">
        <f t="shared" si="5"/>
        <v>40.887100000000004</v>
      </c>
      <c r="L44" s="21">
        <f t="shared" si="1"/>
        <v>378.4</v>
      </c>
      <c r="M44" s="21">
        <f t="shared" si="6"/>
        <v>55.11</v>
      </c>
      <c r="N44" s="21">
        <f t="shared" si="7"/>
        <v>26.0106</v>
      </c>
      <c r="O44" s="21">
        <f t="shared" si="8"/>
        <v>-11.352</v>
      </c>
      <c r="P44" s="21">
        <f t="shared" si="2"/>
        <v>0</v>
      </c>
      <c r="Q44" s="21">
        <f t="shared" si="9"/>
        <v>-7509.9245000000001</v>
      </c>
    </row>
    <row r="45" spans="1:17" x14ac:dyDescent="0.3">
      <c r="A45" s="30">
        <v>93.5</v>
      </c>
      <c r="C45" s="15">
        <f t="shared" si="10"/>
        <v>45887</v>
      </c>
      <c r="D45" s="30">
        <v>98</v>
      </c>
      <c r="E45" s="16"/>
      <c r="F45" s="28">
        <v>4.083333333333333</v>
      </c>
      <c r="G45" s="16"/>
      <c r="H45" s="47">
        <f t="shared" si="3"/>
        <v>8.4499999999999993</v>
      </c>
      <c r="J45" s="5">
        <f t="shared" si="4"/>
        <v>45887</v>
      </c>
      <c r="K45" s="51">
        <f t="shared" si="5"/>
        <v>40.887100000000004</v>
      </c>
      <c r="L45" s="21">
        <f t="shared" si="1"/>
        <v>421.4</v>
      </c>
      <c r="M45" s="21">
        <f t="shared" si="6"/>
        <v>61.71</v>
      </c>
      <c r="N45" s="21">
        <f t="shared" si="7"/>
        <v>28.986599999999999</v>
      </c>
      <c r="O45" s="21">
        <f t="shared" si="8"/>
        <v>-12.641999999999999</v>
      </c>
      <c r="P45" s="21">
        <f t="shared" si="2"/>
        <v>0</v>
      </c>
      <c r="Q45" s="21">
        <f t="shared" si="9"/>
        <v>-8050.2662</v>
      </c>
    </row>
    <row r="46" spans="1:17" x14ac:dyDescent="0.3">
      <c r="A46" s="30">
        <v>90.5</v>
      </c>
      <c r="C46" s="15">
        <f t="shared" si="10"/>
        <v>45888</v>
      </c>
      <c r="D46" s="30">
        <v>95</v>
      </c>
      <c r="E46" s="16"/>
      <c r="F46" s="47">
        <f>4.25*0+8.45</f>
        <v>8.4499999999999993</v>
      </c>
      <c r="G46" s="16"/>
      <c r="H46" s="47">
        <f t="shared" si="3"/>
        <v>8.4499999999999993</v>
      </c>
      <c r="J46" s="5">
        <f t="shared" si="4"/>
        <v>45888</v>
      </c>
      <c r="K46" s="51">
        <f t="shared" si="5"/>
        <v>40.887100000000004</v>
      </c>
      <c r="L46" s="21">
        <f t="shared" si="1"/>
        <v>408.5</v>
      </c>
      <c r="M46" s="21">
        <f t="shared" si="6"/>
        <v>59.730000000000004</v>
      </c>
      <c r="N46" s="21">
        <f t="shared" si="7"/>
        <v>28.093800000000002</v>
      </c>
      <c r="O46" s="21">
        <f t="shared" si="8"/>
        <v>-12.255000000000001</v>
      </c>
      <c r="P46" s="21">
        <f t="shared" si="2"/>
        <v>0</v>
      </c>
      <c r="Q46" s="21">
        <f t="shared" si="9"/>
        <v>-8575.2221000000009</v>
      </c>
    </row>
    <row r="47" spans="1:17" x14ac:dyDescent="0.3">
      <c r="A47" s="30">
        <v>93.5</v>
      </c>
      <c r="C47" s="15">
        <f t="shared" si="10"/>
        <v>45889</v>
      </c>
      <c r="D47" s="30">
        <v>98</v>
      </c>
      <c r="E47" s="16"/>
      <c r="F47" s="28">
        <v>4.083333333333333</v>
      </c>
      <c r="G47" s="16"/>
      <c r="H47" s="47">
        <f t="shared" si="3"/>
        <v>8.4499999999999993</v>
      </c>
      <c r="J47" s="5">
        <f t="shared" si="4"/>
        <v>45889</v>
      </c>
      <c r="K47" s="51">
        <f t="shared" si="5"/>
        <v>40.887100000000004</v>
      </c>
      <c r="L47" s="21">
        <f t="shared" si="1"/>
        <v>421.4</v>
      </c>
      <c r="M47" s="21">
        <f t="shared" si="6"/>
        <v>61.71</v>
      </c>
      <c r="N47" s="21">
        <f t="shared" si="7"/>
        <v>28.986599999999999</v>
      </c>
      <c r="O47" s="21">
        <f t="shared" si="8"/>
        <v>-12.641999999999999</v>
      </c>
      <c r="P47" s="21">
        <f t="shared" si="2"/>
        <v>0</v>
      </c>
      <c r="Q47" s="21">
        <f t="shared" si="9"/>
        <v>-9115.5637999999999</v>
      </c>
    </row>
    <row r="48" spans="1:17" x14ac:dyDescent="0.3">
      <c r="A48" s="30">
        <v>83.5</v>
      </c>
      <c r="C48" s="15">
        <f t="shared" si="10"/>
        <v>45890</v>
      </c>
      <c r="D48" s="30">
        <v>88</v>
      </c>
      <c r="E48" s="16"/>
      <c r="F48" s="28">
        <v>3.6666666666666665</v>
      </c>
      <c r="G48" s="16"/>
      <c r="H48" s="47">
        <f t="shared" si="3"/>
        <v>8.4499999999999993</v>
      </c>
      <c r="J48" s="5">
        <f t="shared" si="4"/>
        <v>45890</v>
      </c>
      <c r="K48" s="51">
        <f t="shared" si="5"/>
        <v>40.887100000000004</v>
      </c>
      <c r="L48" s="21">
        <f t="shared" si="1"/>
        <v>378.4</v>
      </c>
      <c r="M48" s="21">
        <f t="shared" si="6"/>
        <v>55.11</v>
      </c>
      <c r="N48" s="21">
        <f t="shared" si="7"/>
        <v>26.0106</v>
      </c>
      <c r="O48" s="21">
        <f t="shared" si="8"/>
        <v>-11.352</v>
      </c>
      <c r="P48" s="21">
        <f t="shared" si="2"/>
        <v>0</v>
      </c>
      <c r="Q48" s="21">
        <f t="shared" si="9"/>
        <v>-9604.6195000000007</v>
      </c>
    </row>
    <row r="49" spans="1:17" x14ac:dyDescent="0.3">
      <c r="A49" s="30">
        <v>75.5</v>
      </c>
      <c r="C49" s="15">
        <f t="shared" si="10"/>
        <v>45891</v>
      </c>
      <c r="D49" s="30">
        <v>78</v>
      </c>
      <c r="E49" s="16"/>
      <c r="F49" s="28">
        <v>3.25</v>
      </c>
      <c r="G49" s="16"/>
      <c r="H49" s="47">
        <f t="shared" si="3"/>
        <v>8.4499999999999993</v>
      </c>
      <c r="J49" s="5">
        <f t="shared" si="4"/>
        <v>45891</v>
      </c>
      <c r="K49" s="51">
        <f t="shared" si="5"/>
        <v>40.887100000000004</v>
      </c>
      <c r="L49" s="21">
        <f t="shared" si="1"/>
        <v>335.4</v>
      </c>
      <c r="M49" s="21">
        <f t="shared" si="6"/>
        <v>49.830000000000005</v>
      </c>
      <c r="N49" s="21">
        <f t="shared" si="7"/>
        <v>23.113800000000001</v>
      </c>
      <c r="O49" s="21">
        <f t="shared" si="8"/>
        <v>-10.061999999999999</v>
      </c>
      <c r="P49" s="21">
        <f t="shared" si="2"/>
        <v>0</v>
      </c>
      <c r="Q49" s="21">
        <f t="shared" si="9"/>
        <v>-10043.788399999999</v>
      </c>
    </row>
    <row r="50" spans="1:17" x14ac:dyDescent="0.3">
      <c r="A50" s="30">
        <v>87.5</v>
      </c>
      <c r="C50" s="15">
        <f t="shared" si="10"/>
        <v>45892</v>
      </c>
      <c r="D50" s="30">
        <v>90</v>
      </c>
      <c r="E50" s="16"/>
      <c r="F50" s="28">
        <v>3.75</v>
      </c>
      <c r="G50" s="16"/>
      <c r="H50" s="47">
        <f t="shared" si="3"/>
        <v>8.4499999999999993</v>
      </c>
      <c r="J50" s="5">
        <f t="shared" si="4"/>
        <v>45892</v>
      </c>
      <c r="K50" s="51">
        <f t="shared" si="5"/>
        <v>40.887100000000004</v>
      </c>
      <c r="L50" s="21">
        <f t="shared" si="1"/>
        <v>387</v>
      </c>
      <c r="M50" s="21">
        <f t="shared" si="6"/>
        <v>57.75</v>
      </c>
      <c r="N50" s="21">
        <f t="shared" si="7"/>
        <v>26.684999999999999</v>
      </c>
      <c r="O50" s="21">
        <f t="shared" si="8"/>
        <v>-11.61</v>
      </c>
      <c r="P50" s="21">
        <f t="shared" si="2"/>
        <v>0</v>
      </c>
      <c r="Q50" s="21">
        <f t="shared" si="9"/>
        <v>-10544.5005</v>
      </c>
    </row>
    <row r="51" spans="1:17" x14ac:dyDescent="0.3">
      <c r="A51" s="30">
        <v>87.5</v>
      </c>
      <c r="C51" s="15">
        <f t="shared" si="10"/>
        <v>45893</v>
      </c>
      <c r="D51" s="30">
        <v>90</v>
      </c>
      <c r="E51" s="16"/>
      <c r="F51" s="28">
        <v>3.75</v>
      </c>
      <c r="G51" s="16"/>
      <c r="H51" s="47">
        <f t="shared" si="3"/>
        <v>8.4499999999999993</v>
      </c>
      <c r="J51" s="5">
        <f t="shared" si="4"/>
        <v>45893</v>
      </c>
      <c r="K51" s="51">
        <f t="shared" si="5"/>
        <v>40.887100000000004</v>
      </c>
      <c r="L51" s="21">
        <f t="shared" si="1"/>
        <v>387</v>
      </c>
      <c r="M51" s="21">
        <f t="shared" si="6"/>
        <v>57.75</v>
      </c>
      <c r="N51" s="21">
        <f t="shared" si="7"/>
        <v>26.684999999999999</v>
      </c>
      <c r="O51" s="21">
        <f t="shared" si="8"/>
        <v>-11.61</v>
      </c>
      <c r="P51" s="21">
        <f t="shared" si="2"/>
        <v>0</v>
      </c>
      <c r="Q51" s="21">
        <f t="shared" si="9"/>
        <v>-11045.212600000001</v>
      </c>
    </row>
    <row r="52" spans="1:17" x14ac:dyDescent="0.3">
      <c r="A52" s="30">
        <v>85.5</v>
      </c>
      <c r="C52" s="15">
        <f t="shared" si="10"/>
        <v>45894</v>
      </c>
      <c r="D52" s="30">
        <v>88</v>
      </c>
      <c r="E52" s="16"/>
      <c r="F52" s="28">
        <v>3.6666666666666665</v>
      </c>
      <c r="G52" s="16"/>
      <c r="H52" s="47">
        <f t="shared" si="3"/>
        <v>8.4499999999999993</v>
      </c>
      <c r="J52" s="5">
        <f t="shared" si="4"/>
        <v>45894</v>
      </c>
      <c r="K52" s="51">
        <f t="shared" si="5"/>
        <v>40.887100000000004</v>
      </c>
      <c r="L52" s="21">
        <f t="shared" si="1"/>
        <v>378.4</v>
      </c>
      <c r="M52" s="21">
        <f t="shared" si="6"/>
        <v>56.43</v>
      </c>
      <c r="N52" s="21">
        <f t="shared" si="7"/>
        <v>26.0898</v>
      </c>
      <c r="O52" s="21">
        <f t="shared" si="8"/>
        <v>-11.352</v>
      </c>
      <c r="P52" s="21">
        <f t="shared" si="2"/>
        <v>0</v>
      </c>
      <c r="Q52" s="21">
        <f t="shared" si="9"/>
        <v>-11535.6675</v>
      </c>
    </row>
    <row r="53" spans="1:17" x14ac:dyDescent="0.3">
      <c r="A53" s="30">
        <v>92.5</v>
      </c>
      <c r="C53" s="15">
        <f t="shared" si="10"/>
        <v>45895</v>
      </c>
      <c r="D53" s="30">
        <v>95</v>
      </c>
      <c r="E53" s="16"/>
      <c r="F53" s="28">
        <v>3.9583333333333335</v>
      </c>
      <c r="G53" s="16"/>
      <c r="H53" s="47">
        <f t="shared" si="3"/>
        <v>8.4499999999999993</v>
      </c>
      <c r="J53" s="5">
        <f t="shared" si="4"/>
        <v>45895</v>
      </c>
      <c r="K53" s="51">
        <f t="shared" si="5"/>
        <v>40.887100000000004</v>
      </c>
      <c r="L53" s="21">
        <f t="shared" si="1"/>
        <v>408.5</v>
      </c>
      <c r="M53" s="21">
        <f t="shared" si="6"/>
        <v>61.050000000000004</v>
      </c>
      <c r="N53" s="21">
        <f t="shared" si="7"/>
        <v>28.172999999999998</v>
      </c>
      <c r="O53" s="21">
        <f t="shared" si="8"/>
        <v>-12.255000000000001</v>
      </c>
      <c r="P53" s="21">
        <f t="shared" si="2"/>
        <v>0</v>
      </c>
      <c r="Q53" s="21">
        <f t="shared" si="9"/>
        <v>-12062.0226</v>
      </c>
    </row>
    <row r="54" spans="1:17" x14ac:dyDescent="0.3">
      <c r="A54" s="30">
        <v>95.5</v>
      </c>
      <c r="C54" s="15">
        <f t="shared" si="10"/>
        <v>45896</v>
      </c>
      <c r="D54" s="30">
        <v>98</v>
      </c>
      <c r="E54" s="16"/>
      <c r="F54" s="28">
        <v>4.083333333333333</v>
      </c>
      <c r="G54" s="16"/>
      <c r="H54" s="47">
        <f t="shared" si="3"/>
        <v>8.4499999999999993</v>
      </c>
      <c r="J54" s="5">
        <f t="shared" si="4"/>
        <v>45896</v>
      </c>
      <c r="K54" s="51">
        <f t="shared" si="5"/>
        <v>40.887100000000004</v>
      </c>
      <c r="L54" s="21">
        <f t="shared" si="1"/>
        <v>421.4</v>
      </c>
      <c r="M54" s="21">
        <f t="shared" si="6"/>
        <v>63.03</v>
      </c>
      <c r="N54" s="21">
        <f t="shared" si="7"/>
        <v>29.065799999999999</v>
      </c>
      <c r="O54" s="21">
        <f t="shared" si="8"/>
        <v>-12.641999999999999</v>
      </c>
      <c r="P54" s="21">
        <f t="shared" si="2"/>
        <v>0</v>
      </c>
      <c r="Q54" s="21">
        <f t="shared" si="9"/>
        <v>-12603.763499999999</v>
      </c>
    </row>
    <row r="55" spans="1:17" x14ac:dyDescent="0.3">
      <c r="A55" s="30">
        <v>98.5</v>
      </c>
      <c r="C55" s="15">
        <f t="shared" si="10"/>
        <v>45897</v>
      </c>
      <c r="D55" s="30">
        <v>101</v>
      </c>
      <c r="E55" s="16"/>
      <c r="F55" s="28">
        <v>4.208333333333333</v>
      </c>
      <c r="G55" s="16"/>
      <c r="H55" s="47">
        <f t="shared" si="3"/>
        <v>8.4499999999999993</v>
      </c>
      <c r="J55" s="5">
        <f t="shared" si="4"/>
        <v>45897</v>
      </c>
      <c r="K55" s="51">
        <f t="shared" si="5"/>
        <v>40.887100000000004</v>
      </c>
      <c r="L55" s="21">
        <f t="shared" si="1"/>
        <v>434.3</v>
      </c>
      <c r="M55" s="21">
        <f t="shared" si="6"/>
        <v>65.010000000000005</v>
      </c>
      <c r="N55" s="21">
        <f t="shared" si="7"/>
        <v>29.958600000000001</v>
      </c>
      <c r="O55" s="21">
        <f t="shared" si="8"/>
        <v>-13.029</v>
      </c>
      <c r="P55" s="21">
        <f t="shared" si="2"/>
        <v>0</v>
      </c>
      <c r="Q55" s="21">
        <f t="shared" si="9"/>
        <v>-13160.8902</v>
      </c>
    </row>
    <row r="56" spans="1:17" x14ac:dyDescent="0.3">
      <c r="A56" s="30">
        <v>85.5</v>
      </c>
      <c r="C56" s="15">
        <f t="shared" si="10"/>
        <v>45898</v>
      </c>
      <c r="D56" s="30">
        <v>88</v>
      </c>
      <c r="E56" s="16"/>
      <c r="F56" s="28">
        <v>3.6666666666666665</v>
      </c>
      <c r="G56" s="16"/>
      <c r="H56" s="47">
        <f t="shared" si="3"/>
        <v>8.4499999999999993</v>
      </c>
      <c r="J56" s="5">
        <f t="shared" si="4"/>
        <v>45898</v>
      </c>
      <c r="K56" s="51">
        <f t="shared" si="5"/>
        <v>40.887100000000004</v>
      </c>
      <c r="L56" s="21">
        <f t="shared" si="1"/>
        <v>378.4</v>
      </c>
      <c r="M56" s="21">
        <f t="shared" si="6"/>
        <v>56.43</v>
      </c>
      <c r="N56" s="21">
        <f t="shared" si="7"/>
        <v>26.0898</v>
      </c>
      <c r="O56" s="21">
        <f t="shared" si="8"/>
        <v>-11.352</v>
      </c>
      <c r="P56" s="21">
        <f t="shared" si="2"/>
        <v>0</v>
      </c>
      <c r="Q56" s="21">
        <f t="shared" si="9"/>
        <v>-13651.3451</v>
      </c>
    </row>
    <row r="57" spans="1:17" x14ac:dyDescent="0.3">
      <c r="A57" s="30">
        <v>92.5</v>
      </c>
      <c r="C57" s="15">
        <f t="shared" si="10"/>
        <v>45899</v>
      </c>
      <c r="D57" s="30">
        <v>95</v>
      </c>
      <c r="E57" s="16"/>
      <c r="F57" s="28">
        <v>3.9583333333333335</v>
      </c>
      <c r="G57" s="16"/>
      <c r="H57" s="47">
        <f t="shared" si="3"/>
        <v>8.4499999999999993</v>
      </c>
      <c r="J57" s="5">
        <f t="shared" si="4"/>
        <v>45899</v>
      </c>
      <c r="K57" s="51">
        <f t="shared" si="5"/>
        <v>40.887100000000004</v>
      </c>
      <c r="L57" s="21">
        <f t="shared" si="1"/>
        <v>408.5</v>
      </c>
      <c r="M57" s="21">
        <f t="shared" si="6"/>
        <v>61.050000000000004</v>
      </c>
      <c r="N57" s="21">
        <f t="shared" si="7"/>
        <v>28.172999999999998</v>
      </c>
      <c r="O57" s="21">
        <f t="shared" si="8"/>
        <v>-12.255000000000001</v>
      </c>
      <c r="P57" s="21">
        <f t="shared" si="2"/>
        <v>0</v>
      </c>
      <c r="Q57" s="21">
        <f t="shared" si="9"/>
        <v>-14177.700199999999</v>
      </c>
    </row>
    <row r="58" spans="1:17" x14ac:dyDescent="0.3">
      <c r="A58" s="30">
        <v>92.5</v>
      </c>
      <c r="C58" s="15">
        <f t="shared" si="10"/>
        <v>45900</v>
      </c>
      <c r="D58" s="30">
        <v>95</v>
      </c>
      <c r="E58" s="16"/>
      <c r="F58" s="28">
        <v>3.9583333333333335</v>
      </c>
      <c r="G58" s="16"/>
      <c r="H58" s="47">
        <f t="shared" si="3"/>
        <v>8.4499999999999993</v>
      </c>
      <c r="J58" s="5">
        <f t="shared" si="4"/>
        <v>45900</v>
      </c>
      <c r="K58" s="21">
        <f t="shared" si="5"/>
        <v>40.887100000000004</v>
      </c>
      <c r="L58" s="21">
        <f t="shared" si="1"/>
        <v>408.5</v>
      </c>
      <c r="M58" s="21">
        <f t="shared" si="6"/>
        <v>61.050000000000004</v>
      </c>
      <c r="N58" s="21">
        <f t="shared" si="7"/>
        <v>28.172999999999998</v>
      </c>
      <c r="O58" s="21">
        <f t="shared" si="8"/>
        <v>-12.255000000000001</v>
      </c>
      <c r="P58" s="21">
        <f t="shared" si="2"/>
        <v>0</v>
      </c>
      <c r="Q58" s="21">
        <f t="shared" si="9"/>
        <v>-14704.0553</v>
      </c>
    </row>
    <row r="59" spans="1:17" x14ac:dyDescent="0.3">
      <c r="J59" s="5"/>
      <c r="K59" s="21"/>
      <c r="L59" s="21"/>
      <c r="M59" s="21"/>
      <c r="N59" s="21"/>
      <c r="O59" s="21"/>
      <c r="P59" s="21"/>
      <c r="Q59" s="21"/>
    </row>
    <row r="60" spans="1:17" x14ac:dyDescent="0.3">
      <c r="E60" s="17"/>
      <c r="K60" s="21"/>
      <c r="L60" s="21"/>
      <c r="M60" s="21"/>
      <c r="N60" s="21"/>
      <c r="O60" s="21"/>
      <c r="P60" s="21"/>
      <c r="Q60" s="21"/>
    </row>
    <row r="61" spans="1:17" x14ac:dyDescent="0.3">
      <c r="J61" s="23" t="s">
        <v>52</v>
      </c>
      <c r="K61" s="21"/>
      <c r="L61" s="21">
        <f>SUM(K28:K59)</f>
        <v>1267.5001000000002</v>
      </c>
      <c r="M61" s="21"/>
      <c r="N61" s="21"/>
      <c r="O61" s="21"/>
      <c r="P61" s="21"/>
      <c r="Q61" s="21"/>
    </row>
    <row r="62" spans="1:17" x14ac:dyDescent="0.3">
      <c r="J62" s="23" t="s">
        <v>53</v>
      </c>
      <c r="K62" s="21"/>
      <c r="L62" s="21">
        <f>SUM(L28:L59)</f>
        <v>11330.499999999996</v>
      </c>
      <c r="M62" s="21"/>
      <c r="N62" s="21"/>
      <c r="O62" s="21"/>
      <c r="P62" s="21"/>
      <c r="Q62" s="21"/>
    </row>
    <row r="63" spans="1:17" x14ac:dyDescent="0.3">
      <c r="J63" s="23" t="s">
        <v>54</v>
      </c>
      <c r="K63" s="21"/>
      <c r="L63" s="21">
        <f>SUM(M28:M59)</f>
        <v>1666.1699999999998</v>
      </c>
      <c r="M63" s="21"/>
      <c r="N63" s="21"/>
      <c r="O63" s="21"/>
      <c r="P63" s="21"/>
      <c r="Q63" s="21"/>
    </row>
    <row r="64" spans="1:17" x14ac:dyDescent="0.3">
      <c r="J64" s="23" t="s">
        <v>55</v>
      </c>
      <c r="K64" s="21"/>
      <c r="L64" s="21">
        <f>SUM(N28:N59)</f>
        <v>779.80019999999979</v>
      </c>
      <c r="M64" s="21"/>
      <c r="N64" s="21"/>
      <c r="O64" s="21"/>
      <c r="P64" s="21"/>
      <c r="Q64" s="21"/>
    </row>
    <row r="65" spans="10:17" x14ac:dyDescent="0.3">
      <c r="J65" s="23" t="s">
        <v>14</v>
      </c>
      <c r="K65" s="21"/>
      <c r="L65" s="21">
        <f>SUM(O28:O59)</f>
        <v>-339.91499999999996</v>
      </c>
      <c r="M65" s="21"/>
      <c r="N65" s="21"/>
      <c r="O65" s="21"/>
      <c r="P65" s="21"/>
      <c r="Q65" s="21"/>
    </row>
    <row r="66" spans="10:17" x14ac:dyDescent="0.3">
      <c r="J66" s="24" t="s">
        <v>18</v>
      </c>
      <c r="K66" s="29"/>
      <c r="L66" s="29">
        <f>SUM(P28:P59)</f>
        <v>0</v>
      </c>
      <c r="M66" s="21"/>
      <c r="N66" s="21"/>
      <c r="O66" s="21"/>
      <c r="P66" s="21"/>
      <c r="Q66" s="21"/>
    </row>
    <row r="67" spans="10:17" x14ac:dyDescent="0.3">
      <c r="J67" s="23" t="s">
        <v>56</v>
      </c>
      <c r="K67" s="21"/>
      <c r="L67" s="22">
        <f>SUM(L61:L66)</f>
        <v>14704.055299999996</v>
      </c>
      <c r="M67" s="21"/>
      <c r="N67" s="21"/>
      <c r="O67" s="21"/>
      <c r="P67" s="21"/>
      <c r="Q67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25DA-9A30-40E4-A127-2E2BA2C02FFE}">
  <sheetPr>
    <tabColor rgb="FF7030A0"/>
  </sheetPr>
  <dimension ref="A1:S67"/>
  <sheetViews>
    <sheetView showGridLines="0" tabSelected="1" topLeftCell="B21" workbookViewId="0">
      <selection activeCell="P41" sqref="P41"/>
    </sheetView>
  </sheetViews>
  <sheetFormatPr defaultRowHeight="14.4" x14ac:dyDescent="0.3"/>
  <cols>
    <col min="1" max="1" width="13.44140625" customWidth="1"/>
    <col min="2" max="2" width="44.109375" customWidth="1"/>
    <col min="3" max="3" width="13.6640625" customWidth="1"/>
    <col min="4" max="4" width="13.33203125" customWidth="1"/>
    <col min="5" max="5" width="14.44140625" customWidth="1"/>
    <col min="6" max="6" width="14" customWidth="1"/>
    <col min="7" max="7" width="11" bestFit="1" customWidth="1"/>
    <col min="8" max="8" width="12.109375" customWidth="1"/>
    <col min="9" max="9" width="13.44140625" customWidth="1"/>
    <col min="10" max="10" width="12.5546875" customWidth="1"/>
    <col min="11" max="11" width="19.5546875" customWidth="1"/>
    <col min="12" max="12" width="13.6640625" customWidth="1"/>
    <col min="13" max="13" width="11.6640625" customWidth="1"/>
    <col min="14" max="14" width="11.33203125" customWidth="1"/>
    <col min="15" max="15" width="11.6640625" customWidth="1"/>
    <col min="16" max="16" width="24.6640625" customWidth="1"/>
    <col min="17" max="17" width="11.88671875" customWidth="1"/>
    <col min="18" max="18" width="13.5546875" customWidth="1"/>
    <col min="19" max="19" width="10.44140625" bestFit="1" customWidth="1"/>
    <col min="20" max="20" width="12.109375" customWidth="1"/>
    <col min="22" max="23" width="17.88671875" customWidth="1"/>
    <col min="24" max="24" width="14.33203125" customWidth="1"/>
    <col min="25" max="25" width="18.88671875" bestFit="1" customWidth="1"/>
    <col min="26" max="26" width="17.6640625" bestFit="1" customWidth="1"/>
  </cols>
  <sheetData>
    <row r="1" spans="1:19" x14ac:dyDescent="0.3">
      <c r="A1" s="50" t="s">
        <v>59</v>
      </c>
      <c r="B1" s="25" t="s">
        <v>60</v>
      </c>
      <c r="C1" s="25"/>
      <c r="D1" s="25"/>
      <c r="E1" s="25"/>
      <c r="F1" s="37"/>
      <c r="G1" s="37"/>
    </row>
    <row r="4" spans="1:19" x14ac:dyDescent="0.3">
      <c r="B4" s="36" t="s">
        <v>2</v>
      </c>
      <c r="C4" s="25"/>
    </row>
    <row r="5" spans="1:19" x14ac:dyDescent="0.3">
      <c r="B5" s="49" t="s">
        <v>3</v>
      </c>
      <c r="C5" s="49" t="s">
        <v>4</v>
      </c>
      <c r="D5" s="49" t="s">
        <v>5</v>
      </c>
      <c r="E5" s="49"/>
      <c r="F5" s="49"/>
      <c r="G5" s="49"/>
    </row>
    <row r="6" spans="1:19" x14ac:dyDescent="0.3">
      <c r="B6" s="6" t="s">
        <v>6</v>
      </c>
      <c r="C6" s="12">
        <v>10</v>
      </c>
      <c r="D6" s="11" t="s">
        <v>7</v>
      </c>
      <c r="E6" s="11"/>
      <c r="F6" s="11"/>
      <c r="G6" s="11"/>
    </row>
    <row r="7" spans="1:19" ht="15" customHeight="1" x14ac:dyDescent="0.3">
      <c r="B7" s="8" t="s">
        <v>8</v>
      </c>
      <c r="C7" s="31">
        <v>150</v>
      </c>
      <c r="D7" s="4" t="s">
        <v>9</v>
      </c>
      <c r="E7" s="3"/>
      <c r="F7" s="3"/>
      <c r="G7" s="3"/>
      <c r="S7" s="1"/>
    </row>
    <row r="8" spans="1:19" x14ac:dyDescent="0.3">
      <c r="B8" s="8" t="s">
        <v>10</v>
      </c>
      <c r="C8" s="31">
        <v>4.3</v>
      </c>
      <c r="D8" s="3" t="s">
        <v>11</v>
      </c>
      <c r="E8" s="3"/>
      <c r="F8" s="3"/>
      <c r="G8" s="3"/>
    </row>
    <row r="9" spans="1:19" ht="16.95" customHeight="1" x14ac:dyDescent="0.3">
      <c r="B9" s="8" t="s">
        <v>12</v>
      </c>
      <c r="C9" s="31">
        <v>0.66</v>
      </c>
      <c r="D9" s="3" t="s">
        <v>13</v>
      </c>
      <c r="E9" s="4"/>
      <c r="F9" s="4"/>
      <c r="G9" s="4"/>
    </row>
    <row r="10" spans="1:19" ht="15.6" customHeight="1" x14ac:dyDescent="0.3">
      <c r="B10" s="8" t="s">
        <v>14</v>
      </c>
      <c r="C10" s="34">
        <v>0.03</v>
      </c>
      <c r="D10" s="4" t="s">
        <v>15</v>
      </c>
      <c r="E10" s="4"/>
      <c r="F10" s="4"/>
      <c r="G10" s="4"/>
    </row>
    <row r="11" spans="1:19" ht="28.8" x14ac:dyDescent="0.3">
      <c r="B11" s="8" t="s">
        <v>16</v>
      </c>
      <c r="C11" s="34">
        <v>0.06</v>
      </c>
      <c r="D11" s="4" t="s">
        <v>17</v>
      </c>
      <c r="E11" s="4"/>
      <c r="F11" s="4"/>
      <c r="G11" s="4"/>
    </row>
    <row r="12" spans="1:19" x14ac:dyDescent="0.3">
      <c r="B12" s="8" t="s">
        <v>18</v>
      </c>
      <c r="C12" s="31">
        <v>1.5</v>
      </c>
      <c r="D12" s="3" t="s">
        <v>19</v>
      </c>
      <c r="E12" s="4"/>
      <c r="F12" s="4"/>
      <c r="G12" s="4"/>
    </row>
    <row r="13" spans="1:19" x14ac:dyDescent="0.3">
      <c r="B13" s="8" t="s">
        <v>20</v>
      </c>
      <c r="C13" s="44">
        <v>45870</v>
      </c>
      <c r="D13" s="3"/>
      <c r="E13" s="3"/>
      <c r="F13" s="3"/>
      <c r="G13" s="3"/>
    </row>
    <row r="14" spans="1:19" x14ac:dyDescent="0.3">
      <c r="B14" s="8" t="s">
        <v>21</v>
      </c>
      <c r="C14" s="45">
        <f>DAY(EOMONTH(C13,0))</f>
        <v>31</v>
      </c>
    </row>
    <row r="16" spans="1:19" x14ac:dyDescent="0.3">
      <c r="B16" s="20" t="s">
        <v>22</v>
      </c>
      <c r="C16" s="20" t="s">
        <v>23</v>
      </c>
      <c r="D16" s="20" t="s">
        <v>24</v>
      </c>
    </row>
    <row r="17" spans="1:18" x14ac:dyDescent="0.3">
      <c r="B17" s="3" t="s">
        <v>25</v>
      </c>
      <c r="C17" s="35">
        <f>50%*C6</f>
        <v>5</v>
      </c>
      <c r="D17" s="46">
        <f>C17*$D$24</f>
        <v>4.25</v>
      </c>
    </row>
    <row r="18" spans="1:18" x14ac:dyDescent="0.3">
      <c r="B18" s="3" t="s">
        <v>26</v>
      </c>
      <c r="C18" s="35">
        <v>10</v>
      </c>
      <c r="D18" s="46">
        <f t="shared" ref="D18:D19" si="0">C18*$D$24</f>
        <v>8.5</v>
      </c>
    </row>
    <row r="19" spans="1:18" x14ac:dyDescent="0.3">
      <c r="B19" s="3" t="s">
        <v>27</v>
      </c>
      <c r="C19" s="35">
        <f>110%*C18</f>
        <v>11</v>
      </c>
      <c r="D19" s="46">
        <f t="shared" si="0"/>
        <v>9.35</v>
      </c>
    </row>
    <row r="20" spans="1:18" x14ac:dyDescent="0.3">
      <c r="B20" s="3"/>
      <c r="C20" s="13"/>
      <c r="D20" s="14"/>
      <c r="P20" s="41"/>
    </row>
    <row r="22" spans="1:18" x14ac:dyDescent="0.3">
      <c r="C22" s="36" t="s">
        <v>28</v>
      </c>
      <c r="D22" s="33"/>
      <c r="E22" s="32"/>
      <c r="J22" s="2"/>
    </row>
    <row r="23" spans="1:18" x14ac:dyDescent="0.3">
      <c r="C23" t="s">
        <v>29</v>
      </c>
      <c r="D23" s="27">
        <v>24</v>
      </c>
      <c r="J23" s="2" t="s">
        <v>30</v>
      </c>
    </row>
    <row r="24" spans="1:18" x14ac:dyDescent="0.3">
      <c r="C24" t="s">
        <v>31</v>
      </c>
      <c r="D24" s="27">
        <v>0.85</v>
      </c>
      <c r="J24" s="9"/>
      <c r="K24" s="10"/>
      <c r="L24" s="10"/>
      <c r="M24" s="10"/>
    </row>
    <row r="25" spans="1:18" ht="42" customHeight="1" x14ac:dyDescent="0.3">
      <c r="J25" s="42"/>
      <c r="K25" s="43" t="s">
        <v>32</v>
      </c>
      <c r="L25" s="43" t="s">
        <v>33</v>
      </c>
      <c r="M25" s="43" t="s">
        <v>34</v>
      </c>
      <c r="N25" s="43" t="s">
        <v>35</v>
      </c>
      <c r="O25" s="43" t="s">
        <v>14</v>
      </c>
      <c r="P25" s="43" t="s">
        <v>18</v>
      </c>
      <c r="Q25" s="43" t="s">
        <v>36</v>
      </c>
    </row>
    <row r="26" spans="1:18" ht="42" customHeight="1" x14ac:dyDescent="0.3">
      <c r="A26" s="38" t="s">
        <v>37</v>
      </c>
      <c r="D26" s="38" t="s">
        <v>37</v>
      </c>
      <c r="E26" s="38"/>
      <c r="F26" s="38" t="s">
        <v>38</v>
      </c>
      <c r="G26" s="38"/>
      <c r="H26" s="38" t="s">
        <v>39</v>
      </c>
      <c r="I26" s="26" t="s">
        <v>40</v>
      </c>
      <c r="J26" s="42"/>
      <c r="K26" s="39" t="s">
        <v>41</v>
      </c>
      <c r="L26" s="39" t="s">
        <v>42</v>
      </c>
      <c r="M26" s="39" t="s">
        <v>43</v>
      </c>
      <c r="N26" s="40" t="s">
        <v>44</v>
      </c>
      <c r="O26" s="40" t="s">
        <v>45</v>
      </c>
      <c r="P26" s="39" t="s">
        <v>46</v>
      </c>
      <c r="Q26" s="43"/>
    </row>
    <row r="27" spans="1:18" ht="28.8" x14ac:dyDescent="0.3">
      <c r="A27" s="19" t="s">
        <v>47</v>
      </c>
      <c r="C27" s="18" t="s">
        <v>48</v>
      </c>
      <c r="D27" s="19" t="s">
        <v>49</v>
      </c>
      <c r="E27" s="19"/>
      <c r="F27" s="19" t="s">
        <v>50</v>
      </c>
      <c r="G27" s="19"/>
      <c r="H27" s="19" t="s">
        <v>51</v>
      </c>
      <c r="J27" s="6"/>
      <c r="K27" s="7"/>
      <c r="L27" s="7"/>
      <c r="M27" s="7"/>
      <c r="N27" s="7"/>
      <c r="O27" s="7"/>
      <c r="P27" s="7"/>
      <c r="Q27" s="7">
        <v>0</v>
      </c>
    </row>
    <row r="28" spans="1:18" x14ac:dyDescent="0.3">
      <c r="A28" s="30">
        <v>41.5</v>
      </c>
      <c r="C28" s="15">
        <f>C13</f>
        <v>45870</v>
      </c>
      <c r="D28" s="30">
        <v>45</v>
      </c>
      <c r="E28" s="16"/>
      <c r="F28" s="28">
        <v>1.875</v>
      </c>
      <c r="G28" s="16"/>
      <c r="H28" s="47">
        <f>IF(F28="", "", MIN($D$18, IF(MAX($F$28:$F$57)&gt;$D$17, MAX($F$28:$F$57), F28)))</f>
        <v>8.5</v>
      </c>
      <c r="J28" s="5">
        <f>C28</f>
        <v>45870</v>
      </c>
      <c r="K28" s="21">
        <f>ROUNDUP(H28*($C$7/$C$14),4)</f>
        <v>41.129100000000001</v>
      </c>
      <c r="L28" s="21">
        <f t="shared" ref="L28:L58" si="1">ROUNDUP(D28*$C$8,4)</f>
        <v>193.5</v>
      </c>
      <c r="M28" s="21">
        <f>A28*$C$9</f>
        <v>27.39</v>
      </c>
      <c r="N28" s="21">
        <f>ROUNDUP($C$11*(L28+M28),4)</f>
        <v>13.253399999999999</v>
      </c>
      <c r="O28" s="21">
        <f>ROUNDUP(-L28*$C$10,4)</f>
        <v>-5.8049999999999997</v>
      </c>
      <c r="P28" s="21">
        <f t="shared" ref="P28:P58" si="2">IF(F28&gt;=$D$19,1.5*$C$7*(F28-$D$18),0)</f>
        <v>0</v>
      </c>
      <c r="Q28" s="21">
        <f>ROUNDUP(Q27-(K28+L28+M28+N28+O28+P28),4)</f>
        <v>-269.46749999999997</v>
      </c>
      <c r="R28" s="48">
        <f>Q28-'Scenario 1'!R28</f>
        <v>-32.056499999999971</v>
      </c>
    </row>
    <row r="29" spans="1:18" x14ac:dyDescent="0.3">
      <c r="A29" s="30">
        <v>51.5</v>
      </c>
      <c r="C29" s="15">
        <f>C28+1</f>
        <v>45871</v>
      </c>
      <c r="D29" s="30">
        <v>55</v>
      </c>
      <c r="E29" s="16"/>
      <c r="F29" s="28">
        <v>2.2916666666666665</v>
      </c>
      <c r="G29" s="16"/>
      <c r="H29" s="47">
        <f t="shared" ref="H29:H58" si="3">IF(F29="", "", MIN($D$18, IF(MAX($F$28:$F$58)&gt;$D$17, MAX($F$28:$F$58), F29)))</f>
        <v>8.5</v>
      </c>
      <c r="J29" s="5">
        <f t="shared" ref="J29:J58" si="4">J28+1</f>
        <v>45871</v>
      </c>
      <c r="K29" s="21">
        <f t="shared" ref="K29:K58" si="5">ROUNDUP(H29*($C$7/$C$14),4)</f>
        <v>41.129100000000001</v>
      </c>
      <c r="L29" s="21">
        <f t="shared" si="1"/>
        <v>236.5</v>
      </c>
      <c r="M29" s="21">
        <f t="shared" ref="M29:M58" si="6">A29*$C$9</f>
        <v>33.99</v>
      </c>
      <c r="N29" s="21">
        <f t="shared" ref="N29:N58" si="7">ROUNDUP($C$11*(L29+M29),4)</f>
        <v>16.229399999999998</v>
      </c>
      <c r="O29" s="21">
        <f t="shared" ref="O29:O58" si="8">ROUNDUP(-L29*$C$10,4)</f>
        <v>-7.0949999999999998</v>
      </c>
      <c r="P29" s="21">
        <f t="shared" si="2"/>
        <v>0</v>
      </c>
      <c r="Q29" s="21">
        <f t="shared" ref="Q29:Q58" si="9">ROUNDUP(Q28-(K29+L29+M29+N29+O29+P29),4)</f>
        <v>-590.221</v>
      </c>
      <c r="R29" s="48">
        <f>Q29-'Scenario 1'!R29</f>
        <v>-62.09680000000003</v>
      </c>
    </row>
    <row r="30" spans="1:18" x14ac:dyDescent="0.3">
      <c r="A30" s="30">
        <v>68.5</v>
      </c>
      <c r="C30" s="15">
        <f t="shared" ref="C30:C58" si="10">C29+1</f>
        <v>45872</v>
      </c>
      <c r="D30" s="30">
        <v>72</v>
      </c>
      <c r="E30" s="16"/>
      <c r="F30" s="28">
        <v>3</v>
      </c>
      <c r="G30" s="16"/>
      <c r="H30" s="47">
        <f t="shared" si="3"/>
        <v>8.5</v>
      </c>
      <c r="J30" s="5">
        <f t="shared" si="4"/>
        <v>45872</v>
      </c>
      <c r="K30" s="21">
        <f t="shared" si="5"/>
        <v>41.129100000000001</v>
      </c>
      <c r="L30" s="21">
        <f t="shared" si="1"/>
        <v>309.60000000000002</v>
      </c>
      <c r="M30" s="21">
        <f t="shared" si="6"/>
        <v>45.21</v>
      </c>
      <c r="N30" s="21">
        <f t="shared" si="7"/>
        <v>21.288599999999999</v>
      </c>
      <c r="O30" s="21">
        <f t="shared" si="8"/>
        <v>-9.2880000000000003</v>
      </c>
      <c r="P30" s="21">
        <f t="shared" si="2"/>
        <v>0</v>
      </c>
      <c r="Q30" s="21">
        <f t="shared" si="9"/>
        <v>-998.16070000000002</v>
      </c>
      <c r="R30" s="48">
        <f>Q30-'Scenario 1'!R30</f>
        <v>-88.709699999999998</v>
      </c>
    </row>
    <row r="31" spans="1:18" x14ac:dyDescent="0.3">
      <c r="A31" s="30">
        <v>81.5</v>
      </c>
      <c r="C31" s="15">
        <f t="shared" si="10"/>
        <v>45873</v>
      </c>
      <c r="D31" s="30">
        <v>85</v>
      </c>
      <c r="E31" s="16"/>
      <c r="F31" s="28">
        <v>3.5416666666666665</v>
      </c>
      <c r="G31" s="16"/>
      <c r="H31" s="47">
        <f t="shared" si="3"/>
        <v>8.5</v>
      </c>
      <c r="J31" s="5">
        <f t="shared" si="4"/>
        <v>45873</v>
      </c>
      <c r="K31" s="21">
        <f t="shared" si="5"/>
        <v>41.129100000000001</v>
      </c>
      <c r="L31" s="21">
        <f t="shared" si="1"/>
        <v>365.5</v>
      </c>
      <c r="M31" s="21">
        <f t="shared" si="6"/>
        <v>53.79</v>
      </c>
      <c r="N31" s="21">
        <f t="shared" si="7"/>
        <v>25.157399999999999</v>
      </c>
      <c r="O31" s="21">
        <f t="shared" si="8"/>
        <v>-10.965</v>
      </c>
      <c r="P31" s="21">
        <f t="shared" si="2"/>
        <v>0</v>
      </c>
      <c r="Q31" s="21">
        <f t="shared" si="9"/>
        <v>-1472.7722000000001</v>
      </c>
      <c r="R31" s="48">
        <f>Q31-'Scenario 1'!R31</f>
        <v>-112.70170000000007</v>
      </c>
    </row>
    <row r="32" spans="1:18" x14ac:dyDescent="0.3">
      <c r="A32" s="30">
        <v>61.5</v>
      </c>
      <c r="C32" s="15">
        <f t="shared" si="10"/>
        <v>45874</v>
      </c>
      <c r="D32" s="30">
        <v>65</v>
      </c>
      <c r="E32" s="16"/>
      <c r="F32" s="28">
        <v>2.7083333333333335</v>
      </c>
      <c r="G32" s="16"/>
      <c r="H32" s="47">
        <f t="shared" si="3"/>
        <v>8.5</v>
      </c>
      <c r="J32" s="5">
        <f>J31+1</f>
        <v>45874</v>
      </c>
      <c r="K32" s="21">
        <f t="shared" si="5"/>
        <v>41.129100000000001</v>
      </c>
      <c r="L32" s="21">
        <f t="shared" si="1"/>
        <v>279.5</v>
      </c>
      <c r="M32" s="21">
        <f t="shared" si="6"/>
        <v>40.590000000000003</v>
      </c>
      <c r="N32" s="21">
        <f t="shared" si="7"/>
        <v>19.205400000000001</v>
      </c>
      <c r="O32" s="21">
        <f t="shared" si="8"/>
        <v>-8.3849999999999998</v>
      </c>
      <c r="P32" s="21">
        <f t="shared" si="2"/>
        <v>0</v>
      </c>
      <c r="Q32" s="21">
        <f t="shared" si="9"/>
        <v>-1844.8117</v>
      </c>
      <c r="R32" s="48">
        <f>Q32-'Scenario 1'!R32</f>
        <v>-140.72589999999991</v>
      </c>
    </row>
    <row r="33" spans="1:17" x14ac:dyDescent="0.3">
      <c r="A33" s="30">
        <v>78.5</v>
      </c>
      <c r="C33" s="15">
        <f t="shared" si="10"/>
        <v>45875</v>
      </c>
      <c r="D33" s="30">
        <v>82</v>
      </c>
      <c r="E33" s="16"/>
      <c r="F33" s="47">
        <v>11.67</v>
      </c>
      <c r="G33" s="16"/>
      <c r="H33" s="47">
        <f t="shared" si="3"/>
        <v>8.5</v>
      </c>
      <c r="J33" s="5">
        <f t="shared" si="4"/>
        <v>45875</v>
      </c>
      <c r="K33" s="21">
        <f t="shared" si="5"/>
        <v>41.129100000000001</v>
      </c>
      <c r="L33" s="21">
        <f t="shared" si="1"/>
        <v>352.6</v>
      </c>
      <c r="M33" s="21">
        <f t="shared" si="6"/>
        <v>51.81</v>
      </c>
      <c r="N33" s="21">
        <f t="shared" si="7"/>
        <v>24.264600000000002</v>
      </c>
      <c r="O33" s="21">
        <f t="shared" si="8"/>
        <v>-10.577999999999999</v>
      </c>
      <c r="P33" s="21">
        <f t="shared" si="2"/>
        <v>713.25</v>
      </c>
      <c r="Q33" s="21">
        <f t="shared" si="9"/>
        <v>-3017.2874000000002</v>
      </c>
    </row>
    <row r="34" spans="1:17" x14ac:dyDescent="0.3">
      <c r="A34" s="30">
        <v>71.5</v>
      </c>
      <c r="C34" s="15">
        <f t="shared" si="10"/>
        <v>45876</v>
      </c>
      <c r="D34" s="30">
        <v>75</v>
      </c>
      <c r="E34" s="16"/>
      <c r="F34" s="28">
        <v>3.125</v>
      </c>
      <c r="G34" s="16"/>
      <c r="H34" s="47">
        <f t="shared" si="3"/>
        <v>8.5</v>
      </c>
      <c r="J34" s="5">
        <f t="shared" si="4"/>
        <v>45876</v>
      </c>
      <c r="K34" s="21">
        <f t="shared" si="5"/>
        <v>41.129100000000001</v>
      </c>
      <c r="L34" s="21">
        <f t="shared" si="1"/>
        <v>322.5</v>
      </c>
      <c r="M34" s="21">
        <f t="shared" si="6"/>
        <v>47.190000000000005</v>
      </c>
      <c r="N34" s="21">
        <f t="shared" si="7"/>
        <v>22.1814</v>
      </c>
      <c r="O34" s="21">
        <f t="shared" si="8"/>
        <v>-9.6750000000000007</v>
      </c>
      <c r="P34" s="21">
        <f t="shared" si="2"/>
        <v>0</v>
      </c>
      <c r="Q34" s="21">
        <f t="shared" si="9"/>
        <v>-3440.6129000000001</v>
      </c>
    </row>
    <row r="35" spans="1:17" x14ac:dyDescent="0.3">
      <c r="A35" s="30">
        <v>91.5</v>
      </c>
      <c r="C35" s="15">
        <f t="shared" si="10"/>
        <v>45877</v>
      </c>
      <c r="D35" s="30">
        <v>95</v>
      </c>
      <c r="E35" s="16"/>
      <c r="F35" s="28">
        <v>3.9583333333333335</v>
      </c>
      <c r="G35" s="16"/>
      <c r="H35" s="47">
        <f t="shared" si="3"/>
        <v>8.5</v>
      </c>
      <c r="J35" s="5">
        <f t="shared" si="4"/>
        <v>45877</v>
      </c>
      <c r="K35" s="21">
        <f t="shared" si="5"/>
        <v>41.129100000000001</v>
      </c>
      <c r="L35" s="21">
        <f t="shared" si="1"/>
        <v>408.5</v>
      </c>
      <c r="M35" s="21">
        <f t="shared" si="6"/>
        <v>60.39</v>
      </c>
      <c r="N35" s="21">
        <f t="shared" si="7"/>
        <v>28.133400000000002</v>
      </c>
      <c r="O35" s="21">
        <f t="shared" si="8"/>
        <v>-12.255000000000001</v>
      </c>
      <c r="P35" s="21">
        <f t="shared" si="2"/>
        <v>0</v>
      </c>
      <c r="Q35" s="21">
        <f t="shared" si="9"/>
        <v>-3966.5104000000001</v>
      </c>
    </row>
    <row r="36" spans="1:17" x14ac:dyDescent="0.3">
      <c r="A36" s="30">
        <v>84.5</v>
      </c>
      <c r="C36" s="15">
        <f t="shared" si="10"/>
        <v>45878</v>
      </c>
      <c r="D36" s="30">
        <v>88</v>
      </c>
      <c r="E36" s="16"/>
      <c r="F36" s="28">
        <v>3.6666666666666665</v>
      </c>
      <c r="G36" s="16"/>
      <c r="H36" s="47">
        <f t="shared" si="3"/>
        <v>8.5</v>
      </c>
      <c r="J36" s="5">
        <f t="shared" si="4"/>
        <v>45878</v>
      </c>
      <c r="K36" s="21">
        <f t="shared" si="5"/>
        <v>41.129100000000001</v>
      </c>
      <c r="L36" s="21">
        <f t="shared" si="1"/>
        <v>378.4</v>
      </c>
      <c r="M36" s="21">
        <f t="shared" si="6"/>
        <v>55.77</v>
      </c>
      <c r="N36" s="21">
        <f t="shared" si="7"/>
        <v>26.0502</v>
      </c>
      <c r="O36" s="21">
        <f t="shared" si="8"/>
        <v>-11.352</v>
      </c>
      <c r="P36" s="21">
        <f t="shared" si="2"/>
        <v>0</v>
      </c>
      <c r="Q36" s="21">
        <f t="shared" si="9"/>
        <v>-4456.5077000000001</v>
      </c>
    </row>
    <row r="37" spans="1:17" x14ac:dyDescent="0.3">
      <c r="A37" s="30">
        <v>93.5</v>
      </c>
      <c r="C37" s="15">
        <f t="shared" si="10"/>
        <v>45879</v>
      </c>
      <c r="D37" s="30">
        <v>98</v>
      </c>
      <c r="E37" s="16"/>
      <c r="F37" s="28">
        <v>4.083333333333333</v>
      </c>
      <c r="G37" s="16"/>
      <c r="H37" s="47">
        <f t="shared" si="3"/>
        <v>8.5</v>
      </c>
      <c r="J37" s="5">
        <f t="shared" si="4"/>
        <v>45879</v>
      </c>
      <c r="K37" s="21">
        <f t="shared" si="5"/>
        <v>41.129100000000001</v>
      </c>
      <c r="L37" s="21">
        <f t="shared" si="1"/>
        <v>421.4</v>
      </c>
      <c r="M37" s="21">
        <f t="shared" si="6"/>
        <v>61.71</v>
      </c>
      <c r="N37" s="21">
        <f t="shared" si="7"/>
        <v>28.986599999999999</v>
      </c>
      <c r="O37" s="21">
        <f t="shared" si="8"/>
        <v>-12.641999999999999</v>
      </c>
      <c r="P37" s="21">
        <f t="shared" si="2"/>
        <v>0</v>
      </c>
      <c r="Q37" s="21">
        <f t="shared" si="9"/>
        <v>-4997.0914000000002</v>
      </c>
    </row>
    <row r="38" spans="1:17" x14ac:dyDescent="0.3">
      <c r="A38" s="30">
        <v>90.5</v>
      </c>
      <c r="C38" s="15">
        <f t="shared" si="10"/>
        <v>45880</v>
      </c>
      <c r="D38" s="30">
        <v>95</v>
      </c>
      <c r="E38" s="16"/>
      <c r="F38" s="28">
        <v>3.9583333333333335</v>
      </c>
      <c r="G38" s="16"/>
      <c r="H38" s="47">
        <f t="shared" si="3"/>
        <v>8.5</v>
      </c>
      <c r="J38" s="5">
        <f t="shared" si="4"/>
        <v>45880</v>
      </c>
      <c r="K38" s="21">
        <f t="shared" si="5"/>
        <v>41.129100000000001</v>
      </c>
      <c r="L38" s="21">
        <f t="shared" si="1"/>
        <v>408.5</v>
      </c>
      <c r="M38" s="21">
        <f t="shared" si="6"/>
        <v>59.730000000000004</v>
      </c>
      <c r="N38" s="21">
        <f t="shared" si="7"/>
        <v>28.093800000000002</v>
      </c>
      <c r="O38" s="21">
        <f t="shared" si="8"/>
        <v>-12.255000000000001</v>
      </c>
      <c r="P38" s="21">
        <f t="shared" si="2"/>
        <v>0</v>
      </c>
      <c r="Q38" s="21">
        <f t="shared" si="9"/>
        <v>-5522.2893000000004</v>
      </c>
    </row>
    <row r="39" spans="1:17" x14ac:dyDescent="0.3">
      <c r="A39" s="30">
        <v>70.5</v>
      </c>
      <c r="C39" s="15">
        <f t="shared" si="10"/>
        <v>45881</v>
      </c>
      <c r="D39" s="30">
        <v>75</v>
      </c>
      <c r="E39" s="16"/>
      <c r="F39" s="28">
        <v>3.125</v>
      </c>
      <c r="G39" s="16"/>
      <c r="H39" s="47">
        <f t="shared" si="3"/>
        <v>8.5</v>
      </c>
      <c r="J39" s="5">
        <f t="shared" si="4"/>
        <v>45881</v>
      </c>
      <c r="K39" s="21">
        <f t="shared" si="5"/>
        <v>41.129100000000001</v>
      </c>
      <c r="L39" s="21">
        <f t="shared" si="1"/>
        <v>322.5</v>
      </c>
      <c r="M39" s="21">
        <f t="shared" si="6"/>
        <v>46.53</v>
      </c>
      <c r="N39" s="21">
        <f t="shared" si="7"/>
        <v>22.1418</v>
      </c>
      <c r="O39" s="21">
        <f t="shared" si="8"/>
        <v>-9.6750000000000007</v>
      </c>
      <c r="P39" s="21">
        <f t="shared" si="2"/>
        <v>0</v>
      </c>
      <c r="Q39" s="21">
        <f t="shared" si="9"/>
        <v>-5944.9152000000004</v>
      </c>
    </row>
    <row r="40" spans="1:17" x14ac:dyDescent="0.3">
      <c r="A40" s="30">
        <v>60.5</v>
      </c>
      <c r="C40" s="15">
        <f t="shared" si="10"/>
        <v>45882</v>
      </c>
      <c r="D40" s="30">
        <v>65</v>
      </c>
      <c r="E40" s="16"/>
      <c r="F40" s="28">
        <v>2.7083333333333335</v>
      </c>
      <c r="G40" s="16"/>
      <c r="H40" s="47">
        <f t="shared" si="3"/>
        <v>8.5</v>
      </c>
      <c r="J40" s="5">
        <f t="shared" si="4"/>
        <v>45882</v>
      </c>
      <c r="K40" s="21">
        <f t="shared" si="5"/>
        <v>41.129100000000001</v>
      </c>
      <c r="L40" s="21">
        <f t="shared" si="1"/>
        <v>279.5</v>
      </c>
      <c r="M40" s="21">
        <f t="shared" si="6"/>
        <v>39.93</v>
      </c>
      <c r="N40" s="21">
        <f t="shared" si="7"/>
        <v>19.165800000000001</v>
      </c>
      <c r="O40" s="21">
        <f t="shared" si="8"/>
        <v>-8.3849999999999998</v>
      </c>
      <c r="P40" s="21">
        <f t="shared" si="2"/>
        <v>0</v>
      </c>
      <c r="Q40" s="21">
        <f t="shared" si="9"/>
        <v>-6316.2551000000003</v>
      </c>
    </row>
    <row r="41" spans="1:17" x14ac:dyDescent="0.3">
      <c r="A41" s="30">
        <v>70.5</v>
      </c>
      <c r="C41" s="15">
        <f t="shared" si="10"/>
        <v>45883</v>
      </c>
      <c r="D41" s="30">
        <v>75</v>
      </c>
      <c r="E41" s="16"/>
      <c r="F41" s="47">
        <f>3.125*0+12.856</f>
        <v>12.856</v>
      </c>
      <c r="G41" s="16"/>
      <c r="H41" s="47">
        <f t="shared" si="3"/>
        <v>8.5</v>
      </c>
      <c r="J41" s="5">
        <f t="shared" si="4"/>
        <v>45883</v>
      </c>
      <c r="K41" s="21">
        <f t="shared" si="5"/>
        <v>41.129100000000001</v>
      </c>
      <c r="L41" s="21">
        <f t="shared" si="1"/>
        <v>322.5</v>
      </c>
      <c r="M41" s="21">
        <f t="shared" si="6"/>
        <v>46.53</v>
      </c>
      <c r="N41" s="21">
        <f t="shared" si="7"/>
        <v>22.1418</v>
      </c>
      <c r="O41" s="21">
        <f t="shared" si="8"/>
        <v>-9.6750000000000007</v>
      </c>
      <c r="P41" s="21">
        <f t="shared" si="2"/>
        <v>980.1</v>
      </c>
      <c r="Q41" s="21">
        <f t="shared" si="9"/>
        <v>-7718.9809999999998</v>
      </c>
    </row>
    <row r="42" spans="1:17" x14ac:dyDescent="0.3">
      <c r="A42" s="30">
        <v>90.5</v>
      </c>
      <c r="C42" s="15">
        <f t="shared" si="10"/>
        <v>45884</v>
      </c>
      <c r="D42" s="30">
        <v>95</v>
      </c>
      <c r="E42" s="16"/>
      <c r="F42" s="28">
        <v>3.9583333333333335</v>
      </c>
      <c r="G42" s="16"/>
      <c r="H42" s="47">
        <f t="shared" si="3"/>
        <v>8.5</v>
      </c>
      <c r="J42" s="5">
        <f t="shared" si="4"/>
        <v>45884</v>
      </c>
      <c r="K42" s="21">
        <f t="shared" si="5"/>
        <v>41.129100000000001</v>
      </c>
      <c r="L42" s="21">
        <f t="shared" si="1"/>
        <v>408.5</v>
      </c>
      <c r="M42" s="21">
        <f t="shared" si="6"/>
        <v>59.730000000000004</v>
      </c>
      <c r="N42" s="21">
        <f t="shared" si="7"/>
        <v>28.093800000000002</v>
      </c>
      <c r="O42" s="21">
        <f t="shared" si="8"/>
        <v>-12.255000000000001</v>
      </c>
      <c r="P42" s="21">
        <f t="shared" si="2"/>
        <v>0</v>
      </c>
      <c r="Q42" s="21">
        <f t="shared" si="9"/>
        <v>-8244.1789000000008</v>
      </c>
    </row>
    <row r="43" spans="1:17" x14ac:dyDescent="0.3">
      <c r="A43" s="30">
        <v>80.5</v>
      </c>
      <c r="C43" s="15">
        <f t="shared" si="10"/>
        <v>45885</v>
      </c>
      <c r="D43" s="30">
        <v>85</v>
      </c>
      <c r="E43" s="16"/>
      <c r="F43" s="28">
        <v>3.5416666666666665</v>
      </c>
      <c r="G43" s="16"/>
      <c r="H43" s="47">
        <f t="shared" si="3"/>
        <v>8.5</v>
      </c>
      <c r="J43" s="5">
        <f t="shared" si="4"/>
        <v>45885</v>
      </c>
      <c r="K43" s="21">
        <f t="shared" si="5"/>
        <v>41.129100000000001</v>
      </c>
      <c r="L43" s="21">
        <f t="shared" si="1"/>
        <v>365.5</v>
      </c>
      <c r="M43" s="21">
        <f t="shared" si="6"/>
        <v>53.13</v>
      </c>
      <c r="N43" s="21">
        <f t="shared" si="7"/>
        <v>25.117799999999999</v>
      </c>
      <c r="O43" s="21">
        <f t="shared" si="8"/>
        <v>-10.965</v>
      </c>
      <c r="P43" s="21">
        <f t="shared" si="2"/>
        <v>0</v>
      </c>
      <c r="Q43" s="21">
        <f t="shared" si="9"/>
        <v>-8718.0907999999999</v>
      </c>
    </row>
    <row r="44" spans="1:17" x14ac:dyDescent="0.3">
      <c r="A44" s="30">
        <v>83.5</v>
      </c>
      <c r="C44" s="15">
        <f t="shared" si="10"/>
        <v>45886</v>
      </c>
      <c r="D44" s="30">
        <v>88</v>
      </c>
      <c r="E44" s="16"/>
      <c r="F44" s="28">
        <v>3.6666666666666665</v>
      </c>
      <c r="G44" s="16"/>
      <c r="H44" s="47">
        <f t="shared" si="3"/>
        <v>8.5</v>
      </c>
      <c r="J44" s="5">
        <f t="shared" si="4"/>
        <v>45886</v>
      </c>
      <c r="K44" s="21">
        <f t="shared" si="5"/>
        <v>41.129100000000001</v>
      </c>
      <c r="L44" s="21">
        <f t="shared" si="1"/>
        <v>378.4</v>
      </c>
      <c r="M44" s="21">
        <f t="shared" si="6"/>
        <v>55.11</v>
      </c>
      <c r="N44" s="21">
        <f t="shared" si="7"/>
        <v>26.0106</v>
      </c>
      <c r="O44" s="21">
        <f t="shared" si="8"/>
        <v>-11.352</v>
      </c>
      <c r="P44" s="21">
        <f t="shared" si="2"/>
        <v>0</v>
      </c>
      <c r="Q44" s="21">
        <f t="shared" si="9"/>
        <v>-9207.3884999999991</v>
      </c>
    </row>
    <row r="45" spans="1:17" x14ac:dyDescent="0.3">
      <c r="A45" s="30">
        <v>93.5</v>
      </c>
      <c r="C45" s="15">
        <f t="shared" si="10"/>
        <v>45887</v>
      </c>
      <c r="D45" s="30">
        <v>98</v>
      </c>
      <c r="E45" s="16"/>
      <c r="F45" s="28">
        <v>4.083333333333333</v>
      </c>
      <c r="G45" s="16"/>
      <c r="H45" s="47">
        <f t="shared" si="3"/>
        <v>8.5</v>
      </c>
      <c r="J45" s="5">
        <f t="shared" si="4"/>
        <v>45887</v>
      </c>
      <c r="K45" s="21">
        <f t="shared" si="5"/>
        <v>41.129100000000001</v>
      </c>
      <c r="L45" s="21">
        <f t="shared" si="1"/>
        <v>421.4</v>
      </c>
      <c r="M45" s="21">
        <f t="shared" si="6"/>
        <v>61.71</v>
      </c>
      <c r="N45" s="21">
        <f t="shared" si="7"/>
        <v>28.986599999999999</v>
      </c>
      <c r="O45" s="21">
        <f t="shared" si="8"/>
        <v>-12.641999999999999</v>
      </c>
      <c r="P45" s="21">
        <f t="shared" si="2"/>
        <v>0</v>
      </c>
      <c r="Q45" s="21">
        <f t="shared" si="9"/>
        <v>-9747.9722000000002</v>
      </c>
    </row>
    <row r="46" spans="1:17" x14ac:dyDescent="0.3">
      <c r="A46" s="30">
        <v>90.5</v>
      </c>
      <c r="C46" s="15">
        <f t="shared" si="10"/>
        <v>45888</v>
      </c>
      <c r="D46" s="30">
        <v>95</v>
      </c>
      <c r="E46" s="16"/>
      <c r="F46" s="28">
        <v>4.25</v>
      </c>
      <c r="G46" s="16"/>
      <c r="H46" s="47">
        <f t="shared" si="3"/>
        <v>8.5</v>
      </c>
      <c r="J46" s="5">
        <f t="shared" si="4"/>
        <v>45888</v>
      </c>
      <c r="K46" s="21">
        <f t="shared" si="5"/>
        <v>41.129100000000001</v>
      </c>
      <c r="L46" s="21">
        <f t="shared" si="1"/>
        <v>408.5</v>
      </c>
      <c r="M46" s="21">
        <f t="shared" si="6"/>
        <v>59.730000000000004</v>
      </c>
      <c r="N46" s="21">
        <f t="shared" si="7"/>
        <v>28.093800000000002</v>
      </c>
      <c r="O46" s="21">
        <f t="shared" si="8"/>
        <v>-12.255000000000001</v>
      </c>
      <c r="P46" s="21">
        <f t="shared" si="2"/>
        <v>0</v>
      </c>
      <c r="Q46" s="21">
        <f t="shared" si="9"/>
        <v>-10273.170099999999</v>
      </c>
    </row>
    <row r="47" spans="1:17" x14ac:dyDescent="0.3">
      <c r="A47" s="30">
        <v>93.5</v>
      </c>
      <c r="C47" s="15">
        <f t="shared" si="10"/>
        <v>45889</v>
      </c>
      <c r="D47" s="30">
        <v>98</v>
      </c>
      <c r="E47" s="16"/>
      <c r="F47" s="28">
        <v>4.083333333333333</v>
      </c>
      <c r="G47" s="16"/>
      <c r="H47" s="47">
        <f t="shared" si="3"/>
        <v>8.5</v>
      </c>
      <c r="J47" s="5">
        <f t="shared" si="4"/>
        <v>45889</v>
      </c>
      <c r="K47" s="21">
        <f t="shared" si="5"/>
        <v>41.129100000000001</v>
      </c>
      <c r="L47" s="21">
        <f t="shared" si="1"/>
        <v>421.4</v>
      </c>
      <c r="M47" s="21">
        <f t="shared" si="6"/>
        <v>61.71</v>
      </c>
      <c r="N47" s="21">
        <f t="shared" si="7"/>
        <v>28.986599999999999</v>
      </c>
      <c r="O47" s="21">
        <f t="shared" si="8"/>
        <v>-12.641999999999999</v>
      </c>
      <c r="P47" s="21">
        <f t="shared" si="2"/>
        <v>0</v>
      </c>
      <c r="Q47" s="21">
        <f t="shared" si="9"/>
        <v>-10813.7538</v>
      </c>
    </row>
    <row r="48" spans="1:17" x14ac:dyDescent="0.3">
      <c r="A48" s="30">
        <v>83.5</v>
      </c>
      <c r="C48" s="15">
        <f t="shared" si="10"/>
        <v>45890</v>
      </c>
      <c r="D48" s="30">
        <v>88</v>
      </c>
      <c r="E48" s="16"/>
      <c r="F48" s="28">
        <v>3.6666666666666665</v>
      </c>
      <c r="G48" s="16"/>
      <c r="H48" s="47">
        <f t="shared" si="3"/>
        <v>8.5</v>
      </c>
      <c r="J48" s="5">
        <f t="shared" si="4"/>
        <v>45890</v>
      </c>
      <c r="K48" s="21">
        <f t="shared" si="5"/>
        <v>41.129100000000001</v>
      </c>
      <c r="L48" s="21">
        <f t="shared" si="1"/>
        <v>378.4</v>
      </c>
      <c r="M48" s="21">
        <f t="shared" si="6"/>
        <v>55.11</v>
      </c>
      <c r="N48" s="21">
        <f t="shared" si="7"/>
        <v>26.0106</v>
      </c>
      <c r="O48" s="21">
        <f t="shared" si="8"/>
        <v>-11.352</v>
      </c>
      <c r="P48" s="21">
        <f t="shared" si="2"/>
        <v>0</v>
      </c>
      <c r="Q48" s="21">
        <f t="shared" si="9"/>
        <v>-11303.0515</v>
      </c>
    </row>
    <row r="49" spans="1:19" x14ac:dyDescent="0.3">
      <c r="A49" s="30">
        <v>75.5</v>
      </c>
      <c r="C49" s="15">
        <f t="shared" si="10"/>
        <v>45891</v>
      </c>
      <c r="D49" s="30">
        <v>78</v>
      </c>
      <c r="E49" s="16"/>
      <c r="F49" s="28">
        <v>3.25</v>
      </c>
      <c r="G49" s="16"/>
      <c r="H49" s="47">
        <f t="shared" si="3"/>
        <v>8.5</v>
      </c>
      <c r="J49" s="5">
        <f t="shared" si="4"/>
        <v>45891</v>
      </c>
      <c r="K49" s="21">
        <f t="shared" si="5"/>
        <v>41.129100000000001</v>
      </c>
      <c r="L49" s="21">
        <f t="shared" si="1"/>
        <v>335.4</v>
      </c>
      <c r="M49" s="21">
        <f t="shared" si="6"/>
        <v>49.830000000000005</v>
      </c>
      <c r="N49" s="21">
        <f t="shared" si="7"/>
        <v>23.113800000000001</v>
      </c>
      <c r="O49" s="21">
        <f t="shared" si="8"/>
        <v>-10.061999999999999</v>
      </c>
      <c r="P49" s="21">
        <f t="shared" si="2"/>
        <v>0</v>
      </c>
      <c r="Q49" s="21">
        <f t="shared" si="9"/>
        <v>-11742.4624</v>
      </c>
    </row>
    <row r="50" spans="1:19" x14ac:dyDescent="0.3">
      <c r="A50" s="30">
        <v>87.5</v>
      </c>
      <c r="C50" s="15">
        <f t="shared" si="10"/>
        <v>45892</v>
      </c>
      <c r="D50" s="30">
        <v>90</v>
      </c>
      <c r="E50" s="16"/>
      <c r="F50" s="28">
        <v>3.75</v>
      </c>
      <c r="G50" s="16"/>
      <c r="H50" s="47">
        <f t="shared" si="3"/>
        <v>8.5</v>
      </c>
      <c r="J50" s="5">
        <f t="shared" si="4"/>
        <v>45892</v>
      </c>
      <c r="K50" s="21">
        <f t="shared" si="5"/>
        <v>41.129100000000001</v>
      </c>
      <c r="L50" s="21">
        <f t="shared" si="1"/>
        <v>387</v>
      </c>
      <c r="M50" s="21">
        <f t="shared" si="6"/>
        <v>57.75</v>
      </c>
      <c r="N50" s="21">
        <f t="shared" si="7"/>
        <v>26.684999999999999</v>
      </c>
      <c r="O50" s="21">
        <f t="shared" si="8"/>
        <v>-11.61</v>
      </c>
      <c r="P50" s="21">
        <f t="shared" si="2"/>
        <v>0</v>
      </c>
      <c r="Q50" s="21">
        <f t="shared" si="9"/>
        <v>-12243.416499999999</v>
      </c>
    </row>
    <row r="51" spans="1:19" x14ac:dyDescent="0.3">
      <c r="A51" s="30">
        <v>87.5</v>
      </c>
      <c r="C51" s="15">
        <f t="shared" si="10"/>
        <v>45893</v>
      </c>
      <c r="D51" s="30">
        <v>90</v>
      </c>
      <c r="E51" s="16"/>
      <c r="F51" s="28">
        <v>3.75</v>
      </c>
      <c r="G51" s="16"/>
      <c r="H51" s="47">
        <f t="shared" si="3"/>
        <v>8.5</v>
      </c>
      <c r="J51" s="5">
        <f t="shared" si="4"/>
        <v>45893</v>
      </c>
      <c r="K51" s="21">
        <f t="shared" si="5"/>
        <v>41.129100000000001</v>
      </c>
      <c r="L51" s="21">
        <f t="shared" si="1"/>
        <v>387</v>
      </c>
      <c r="M51" s="21">
        <f t="shared" si="6"/>
        <v>57.75</v>
      </c>
      <c r="N51" s="21">
        <f t="shared" si="7"/>
        <v>26.684999999999999</v>
      </c>
      <c r="O51" s="21">
        <f t="shared" si="8"/>
        <v>-11.61</v>
      </c>
      <c r="P51" s="21">
        <f t="shared" si="2"/>
        <v>0</v>
      </c>
      <c r="Q51" s="21">
        <f t="shared" si="9"/>
        <v>-12744.3706</v>
      </c>
    </row>
    <row r="52" spans="1:19" x14ac:dyDescent="0.3">
      <c r="A52" s="30">
        <v>85.5</v>
      </c>
      <c r="C52" s="15">
        <f t="shared" si="10"/>
        <v>45894</v>
      </c>
      <c r="D52" s="30">
        <v>88</v>
      </c>
      <c r="E52" s="16"/>
      <c r="F52" s="28">
        <v>3.6666666666666665</v>
      </c>
      <c r="G52" s="16"/>
      <c r="H52" s="47">
        <f t="shared" si="3"/>
        <v>8.5</v>
      </c>
      <c r="J52" s="5">
        <f t="shared" si="4"/>
        <v>45894</v>
      </c>
      <c r="K52" s="21">
        <f t="shared" si="5"/>
        <v>41.129100000000001</v>
      </c>
      <c r="L52" s="21">
        <f t="shared" si="1"/>
        <v>378.4</v>
      </c>
      <c r="M52" s="21">
        <f t="shared" si="6"/>
        <v>56.43</v>
      </c>
      <c r="N52" s="21">
        <f t="shared" si="7"/>
        <v>26.0898</v>
      </c>
      <c r="O52" s="21">
        <f t="shared" si="8"/>
        <v>-11.352</v>
      </c>
      <c r="P52" s="21">
        <f t="shared" si="2"/>
        <v>0</v>
      </c>
      <c r="Q52" s="21">
        <f t="shared" si="9"/>
        <v>-13235.067499999999</v>
      </c>
      <c r="S52" s="48"/>
    </row>
    <row r="53" spans="1:19" x14ac:dyDescent="0.3">
      <c r="A53" s="30">
        <v>92.5</v>
      </c>
      <c r="C53" s="15">
        <f t="shared" si="10"/>
        <v>45895</v>
      </c>
      <c r="D53" s="30">
        <v>95</v>
      </c>
      <c r="E53" s="16"/>
      <c r="F53" s="28">
        <v>3.9583333333333335</v>
      </c>
      <c r="G53" s="16"/>
      <c r="H53" s="47">
        <f t="shared" si="3"/>
        <v>8.5</v>
      </c>
      <c r="J53" s="5">
        <f t="shared" si="4"/>
        <v>45895</v>
      </c>
      <c r="K53" s="21">
        <f t="shared" si="5"/>
        <v>41.129100000000001</v>
      </c>
      <c r="L53" s="21">
        <f t="shared" si="1"/>
        <v>408.5</v>
      </c>
      <c r="M53" s="21">
        <f t="shared" si="6"/>
        <v>61.050000000000004</v>
      </c>
      <c r="N53" s="21">
        <f t="shared" si="7"/>
        <v>28.172999999999998</v>
      </c>
      <c r="O53" s="21">
        <f t="shared" si="8"/>
        <v>-12.255000000000001</v>
      </c>
      <c r="P53" s="21">
        <f t="shared" si="2"/>
        <v>0</v>
      </c>
      <c r="Q53" s="21">
        <f t="shared" si="9"/>
        <v>-13761.6646</v>
      </c>
      <c r="S53" s="48"/>
    </row>
    <row r="54" spans="1:19" x14ac:dyDescent="0.3">
      <c r="A54" s="30">
        <v>95.5</v>
      </c>
      <c r="C54" s="15">
        <f t="shared" si="10"/>
        <v>45896</v>
      </c>
      <c r="D54" s="30">
        <v>98</v>
      </c>
      <c r="E54" s="16"/>
      <c r="F54" s="28">
        <v>4.083333333333333</v>
      </c>
      <c r="G54" s="16"/>
      <c r="H54" s="47">
        <f t="shared" si="3"/>
        <v>8.5</v>
      </c>
      <c r="J54" s="5">
        <f t="shared" si="4"/>
        <v>45896</v>
      </c>
      <c r="K54" s="21">
        <f t="shared" si="5"/>
        <v>41.129100000000001</v>
      </c>
      <c r="L54" s="21">
        <f t="shared" si="1"/>
        <v>421.4</v>
      </c>
      <c r="M54" s="21">
        <f t="shared" si="6"/>
        <v>63.03</v>
      </c>
      <c r="N54" s="21">
        <f t="shared" si="7"/>
        <v>29.065799999999999</v>
      </c>
      <c r="O54" s="21">
        <f t="shared" si="8"/>
        <v>-12.641999999999999</v>
      </c>
      <c r="P54" s="21">
        <f t="shared" si="2"/>
        <v>0</v>
      </c>
      <c r="Q54" s="21">
        <f t="shared" si="9"/>
        <v>-14303.647499999999</v>
      </c>
      <c r="S54" s="48"/>
    </row>
    <row r="55" spans="1:19" x14ac:dyDescent="0.3">
      <c r="A55" s="30">
        <v>98.5</v>
      </c>
      <c r="C55" s="15">
        <f t="shared" si="10"/>
        <v>45897</v>
      </c>
      <c r="D55" s="30">
        <v>101</v>
      </c>
      <c r="E55" s="16"/>
      <c r="F55" s="28">
        <v>4.208333333333333</v>
      </c>
      <c r="G55" s="16"/>
      <c r="H55" s="47">
        <f t="shared" si="3"/>
        <v>8.5</v>
      </c>
      <c r="J55" s="5">
        <f t="shared" si="4"/>
        <v>45897</v>
      </c>
      <c r="K55" s="21">
        <f t="shared" si="5"/>
        <v>41.129100000000001</v>
      </c>
      <c r="L55" s="21">
        <f t="shared" si="1"/>
        <v>434.3</v>
      </c>
      <c r="M55" s="21">
        <f t="shared" si="6"/>
        <v>65.010000000000005</v>
      </c>
      <c r="N55" s="21">
        <f t="shared" si="7"/>
        <v>29.958600000000001</v>
      </c>
      <c r="O55" s="21">
        <f t="shared" si="8"/>
        <v>-13.029</v>
      </c>
      <c r="P55" s="21">
        <f t="shared" si="2"/>
        <v>0</v>
      </c>
      <c r="Q55" s="21">
        <f t="shared" si="9"/>
        <v>-14861.0162</v>
      </c>
    </row>
    <row r="56" spans="1:19" x14ac:dyDescent="0.3">
      <c r="A56" s="30">
        <v>85.5</v>
      </c>
      <c r="C56" s="15">
        <f t="shared" si="10"/>
        <v>45898</v>
      </c>
      <c r="D56" s="30">
        <v>88</v>
      </c>
      <c r="E56" s="16"/>
      <c r="F56" s="28">
        <v>3.6666666666666665</v>
      </c>
      <c r="G56" s="16"/>
      <c r="H56" s="47">
        <f t="shared" si="3"/>
        <v>8.5</v>
      </c>
      <c r="J56" s="5">
        <f t="shared" si="4"/>
        <v>45898</v>
      </c>
      <c r="K56" s="21">
        <f t="shared" si="5"/>
        <v>41.129100000000001</v>
      </c>
      <c r="L56" s="21">
        <f t="shared" si="1"/>
        <v>378.4</v>
      </c>
      <c r="M56" s="21">
        <f t="shared" si="6"/>
        <v>56.43</v>
      </c>
      <c r="N56" s="21">
        <f t="shared" si="7"/>
        <v>26.0898</v>
      </c>
      <c r="O56" s="21">
        <f t="shared" si="8"/>
        <v>-11.352</v>
      </c>
      <c r="P56" s="21">
        <f t="shared" si="2"/>
        <v>0</v>
      </c>
      <c r="Q56" s="21">
        <f t="shared" si="9"/>
        <v>-15351.713100000001</v>
      </c>
    </row>
    <row r="57" spans="1:19" x14ac:dyDescent="0.3">
      <c r="A57" s="30">
        <v>92.5</v>
      </c>
      <c r="C57" s="15">
        <f t="shared" si="10"/>
        <v>45899</v>
      </c>
      <c r="D57" s="30">
        <v>95</v>
      </c>
      <c r="E57" s="16"/>
      <c r="F57" s="28">
        <v>3.9583333333333335</v>
      </c>
      <c r="G57" s="16"/>
      <c r="H57" s="47">
        <f t="shared" si="3"/>
        <v>8.5</v>
      </c>
      <c r="J57" s="5">
        <f t="shared" si="4"/>
        <v>45899</v>
      </c>
      <c r="K57" s="21">
        <f t="shared" si="5"/>
        <v>41.129100000000001</v>
      </c>
      <c r="L57" s="21">
        <f t="shared" si="1"/>
        <v>408.5</v>
      </c>
      <c r="M57" s="21">
        <f t="shared" si="6"/>
        <v>61.050000000000004</v>
      </c>
      <c r="N57" s="21">
        <f t="shared" si="7"/>
        <v>28.172999999999998</v>
      </c>
      <c r="O57" s="21">
        <f t="shared" si="8"/>
        <v>-12.255000000000001</v>
      </c>
      <c r="P57" s="21">
        <f t="shared" si="2"/>
        <v>0</v>
      </c>
      <c r="Q57" s="21">
        <f t="shared" si="9"/>
        <v>-15878.3102</v>
      </c>
    </row>
    <row r="58" spans="1:19" x14ac:dyDescent="0.3">
      <c r="A58" s="30">
        <v>92.5</v>
      </c>
      <c r="C58" s="15">
        <f t="shared" si="10"/>
        <v>45900</v>
      </c>
      <c r="D58" s="30">
        <v>95</v>
      </c>
      <c r="E58" s="16"/>
      <c r="F58" s="28">
        <v>3.9583333333333335</v>
      </c>
      <c r="G58" s="16"/>
      <c r="H58" s="47">
        <f t="shared" si="3"/>
        <v>8.5</v>
      </c>
      <c r="J58" s="5">
        <f t="shared" si="4"/>
        <v>45900</v>
      </c>
      <c r="K58" s="21">
        <f t="shared" si="5"/>
        <v>41.129100000000001</v>
      </c>
      <c r="L58" s="21">
        <f t="shared" si="1"/>
        <v>408.5</v>
      </c>
      <c r="M58" s="21">
        <f t="shared" si="6"/>
        <v>61.050000000000004</v>
      </c>
      <c r="N58" s="21">
        <f t="shared" si="7"/>
        <v>28.172999999999998</v>
      </c>
      <c r="O58" s="21">
        <f t="shared" si="8"/>
        <v>-12.255000000000001</v>
      </c>
      <c r="P58" s="21">
        <f t="shared" si="2"/>
        <v>0</v>
      </c>
      <c r="Q58" s="21">
        <f t="shared" si="9"/>
        <v>-16404.907299999999</v>
      </c>
    </row>
    <row r="59" spans="1:19" x14ac:dyDescent="0.3">
      <c r="J59" s="5"/>
      <c r="K59" s="21"/>
      <c r="L59" s="21"/>
      <c r="M59" s="21"/>
      <c r="N59" s="21"/>
      <c r="O59" s="21"/>
      <c r="P59" s="21"/>
      <c r="Q59" s="21"/>
    </row>
    <row r="60" spans="1:19" x14ac:dyDescent="0.3">
      <c r="E60" s="17"/>
      <c r="K60" s="21"/>
      <c r="L60" s="21"/>
      <c r="M60" s="21"/>
      <c r="N60" s="21"/>
      <c r="O60" s="21"/>
      <c r="P60" s="21"/>
      <c r="Q60" s="21"/>
    </row>
    <row r="61" spans="1:19" x14ac:dyDescent="0.3">
      <c r="J61" s="23" t="s">
        <v>52</v>
      </c>
      <c r="K61" s="21"/>
      <c r="L61" s="21">
        <f>SUM(K28:K59)</f>
        <v>1275.0021000000006</v>
      </c>
      <c r="M61" s="21"/>
      <c r="N61" s="21"/>
      <c r="O61" s="21"/>
      <c r="P61" s="21"/>
      <c r="Q61" s="21"/>
    </row>
    <row r="62" spans="1:19" x14ac:dyDescent="0.3">
      <c r="J62" s="23" t="s">
        <v>53</v>
      </c>
      <c r="K62" s="21"/>
      <c r="L62" s="21">
        <f>SUM(L28:L59)</f>
        <v>11330.499999999996</v>
      </c>
      <c r="M62" s="21"/>
      <c r="N62" s="21"/>
      <c r="O62" s="21"/>
      <c r="P62" s="21"/>
      <c r="Q62" s="21"/>
    </row>
    <row r="63" spans="1:19" x14ac:dyDescent="0.3">
      <c r="J63" s="23" t="s">
        <v>54</v>
      </c>
      <c r="K63" s="21"/>
      <c r="L63" s="21">
        <f>SUM(M28:M59)</f>
        <v>1666.1699999999998</v>
      </c>
      <c r="M63" s="21"/>
      <c r="N63" s="21"/>
      <c r="O63" s="21"/>
      <c r="P63" s="21"/>
      <c r="Q63" s="21"/>
    </row>
    <row r="64" spans="1:19" x14ac:dyDescent="0.3">
      <c r="J64" s="23" t="s">
        <v>55</v>
      </c>
      <c r="K64" s="21"/>
      <c r="L64" s="21">
        <f>SUM(N28:N59)</f>
        <v>779.80019999999979</v>
      </c>
      <c r="M64" s="21"/>
      <c r="N64" s="21"/>
      <c r="O64" s="21"/>
      <c r="P64" s="21"/>
      <c r="Q64" s="21"/>
    </row>
    <row r="65" spans="10:17" x14ac:dyDescent="0.3">
      <c r="J65" s="23" t="s">
        <v>14</v>
      </c>
      <c r="K65" s="21"/>
      <c r="L65" s="21">
        <f>SUM(O28:O59)</f>
        <v>-339.91499999999996</v>
      </c>
      <c r="M65" s="21"/>
      <c r="N65" s="21"/>
      <c r="O65" s="21"/>
      <c r="P65" s="21"/>
      <c r="Q65" s="21"/>
    </row>
    <row r="66" spans="10:17" x14ac:dyDescent="0.3">
      <c r="J66" s="24" t="s">
        <v>18</v>
      </c>
      <c r="K66" s="29"/>
      <c r="L66" s="29">
        <f>SUM(P28:P59)</f>
        <v>1693.35</v>
      </c>
      <c r="M66" s="21"/>
      <c r="N66" s="21"/>
      <c r="O66" s="21"/>
      <c r="P66" s="21"/>
      <c r="Q66" s="21"/>
    </row>
    <row r="67" spans="10:17" x14ac:dyDescent="0.3">
      <c r="J67" s="23" t="s">
        <v>56</v>
      </c>
      <c r="K67" s="21"/>
      <c r="L67" s="22">
        <f>SUM(L61:L66)</f>
        <v>16404.907299999995</v>
      </c>
      <c r="M67" s="21"/>
      <c r="N67" s="21"/>
      <c r="O67" s="21"/>
      <c r="P67" s="21"/>
      <c r="Q67" s="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82821-aae6-4082-a5ba-ea6cec871eae">
      <Terms xmlns="http://schemas.microsoft.com/office/infopath/2007/PartnerControls"/>
    </lcf76f155ced4ddcb4097134ff3c332f>
    <TaxCatchAll xmlns="8ae689fd-2d0a-4368-81dd-a81ec3a4c1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DECD7A7FC114684EE8459FBE95C46" ma:contentTypeVersion="11" ma:contentTypeDescription="Create a new document." ma:contentTypeScope="" ma:versionID="1d54900b6250314b6ca1928107e1e097">
  <xsd:schema xmlns:xsd="http://www.w3.org/2001/XMLSchema" xmlns:xs="http://www.w3.org/2001/XMLSchema" xmlns:p="http://schemas.microsoft.com/office/2006/metadata/properties" xmlns:ns2="f7782821-aae6-4082-a5ba-ea6cec871eae" xmlns:ns3="8ae689fd-2d0a-4368-81dd-a81ec3a4c1cb" targetNamespace="http://schemas.microsoft.com/office/2006/metadata/properties" ma:root="true" ma:fieldsID="90f563c9498c1415a0ecb9517f538d29" ns2:_="" ns3:_="">
    <xsd:import namespace="f7782821-aae6-4082-a5ba-ea6cec871eae"/>
    <xsd:import namespace="8ae689fd-2d0a-4368-81dd-a81ec3a4c1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82821-aae6-4082-a5ba-ea6cec87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41db77-5a46-4ec8-9a67-3b6920aaaa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689fd-2d0a-4368-81dd-a81ec3a4c1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b29526-4ec3-4ba7-bac6-f0b9b5f4f976}" ma:internalName="TaxCatchAll" ma:showField="CatchAllData" ma:web="8ae689fd-2d0a-4368-81dd-a81ec3a4c1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5BDEBB-EC5F-4272-9192-54C1651D37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11C695-8CE7-427D-806E-55BDFBC79DD1}">
  <ds:schemaRefs>
    <ds:schemaRef ds:uri="http://schemas.microsoft.com/office/2006/metadata/properties"/>
    <ds:schemaRef ds:uri="http://schemas.microsoft.com/office/infopath/2007/PartnerControls"/>
    <ds:schemaRef ds:uri="f7782821-aae6-4082-a5ba-ea6cec871eae"/>
    <ds:schemaRef ds:uri="8ae689fd-2d0a-4368-81dd-a81ec3a4c1cb"/>
  </ds:schemaRefs>
</ds:datastoreItem>
</file>

<file path=customXml/itemProps3.xml><?xml version="1.0" encoding="utf-8"?>
<ds:datastoreItem xmlns:ds="http://schemas.openxmlformats.org/officeDocument/2006/customXml" ds:itemID="{3E89D01C-46A6-4941-9CCD-519DF33CC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1</vt:lpstr>
      <vt:lpstr>Scenario 2</vt:lpstr>
      <vt:lpstr>Scenario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Gakhar</dc:creator>
  <cp:keywords/>
  <dc:description/>
  <cp:lastModifiedBy>Pradeep Narayana</cp:lastModifiedBy>
  <cp:revision/>
  <dcterms:created xsi:type="dcterms:W3CDTF">2025-05-26T11:57:17Z</dcterms:created>
  <dcterms:modified xsi:type="dcterms:W3CDTF">2026-01-12T11:46:03Z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2025-05-27T12:27:29Z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cf94827a-bc3d-4b63-8feb-432960d2d81b</vt:lpwstr>
  </property>
  <property fmtid="{D5CDD505-2E9C-101B-9397-08002B2CF9AE}" pid="7" name="MSIP_Label_defa4170-0d19-0005-0004-bc88714345d2_ActionId">
    <vt:lpwstr>9c0b308f-cae6-409e-84ee-0a4eb7384134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0x010100289DECD7A7FC114684EE8459FBE95C46</vt:lpwstr>
  </property>
  <property fmtid="{D5CDD505-2E9C-101B-9397-08002B2CF9AE}" pid="11" name="MediaServiceImageTags">
    <vt:lpwstr/>
  </property>
</Properties>
</file>