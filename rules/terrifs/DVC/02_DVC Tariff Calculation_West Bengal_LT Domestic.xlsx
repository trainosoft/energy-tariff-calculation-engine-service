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"/>
    </mc:Choice>
  </mc:AlternateContent>
  <xr:revisionPtr revIDLastSave="0" documentId="13_ncr:1_{6C484637-B6E7-47E9-B5B9-4D1E11AF434C}" xr6:coauthVersionLast="47" xr6:coauthVersionMax="47" xr10:uidLastSave="{00000000-0000-0000-0000-000000000000}"/>
  <bookViews>
    <workbookView xWindow="12" yWindow="12" windowWidth="23016" windowHeight="12216" activeTab="1" xr2:uid="{D0898F0C-93A7-4719-B0FB-F5FD596946B3}"/>
  </bookViews>
  <sheets>
    <sheet name="WB_LT Domestic" sheetId="6" r:id="rId1"/>
    <sheet name="Analyse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8" i="7" l="1"/>
  <c r="K59" i="7"/>
  <c r="Q21" i="6"/>
  <c r="Q22" i="6"/>
  <c r="Q23" i="6"/>
  <c r="Q24" i="6"/>
  <c r="Q25" i="6"/>
  <c r="Q26" i="6"/>
  <c r="Q27" i="6"/>
  <c r="Q28" i="6"/>
  <c r="Q29" i="6"/>
  <c r="K56" i="7"/>
  <c r="K55" i="7"/>
  <c r="K54" i="7"/>
  <c r="K53" i="7"/>
  <c r="K52" i="7"/>
  <c r="S21" i="6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19" i="7"/>
  <c r="Q31" i="6"/>
  <c r="N19" i="6"/>
  <c r="L19" i="7"/>
  <c r="L19" i="6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20" i="7"/>
  <c r="L21" i="7"/>
  <c r="L22" i="7"/>
  <c r="L23" i="7"/>
  <c r="L24" i="7"/>
  <c r="L25" i="7"/>
  <c r="M10" i="7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O49" i="7" s="1"/>
  <c r="D19" i="7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11" i="7"/>
  <c r="D7" i="7" s="1"/>
  <c r="M31" i="7" s="1"/>
  <c r="D5" i="7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D8" i="6"/>
  <c r="L49" i="6"/>
  <c r="Q49" i="6"/>
  <c r="D19" i="6"/>
  <c r="D11" i="6"/>
  <c r="K33" i="7" l="1"/>
  <c r="O45" i="7"/>
  <c r="O43" i="7"/>
  <c r="O33" i="7"/>
  <c r="O32" i="7"/>
  <c r="K45" i="7"/>
  <c r="Q47" i="7"/>
  <c r="K30" i="7"/>
  <c r="O48" i="7"/>
  <c r="O47" i="7"/>
  <c r="O46" i="7"/>
  <c r="Q31" i="7"/>
  <c r="M49" i="7"/>
  <c r="O30" i="7"/>
  <c r="K31" i="7"/>
  <c r="Q33" i="7"/>
  <c r="K29" i="7"/>
  <c r="M48" i="7"/>
  <c r="O29" i="7"/>
  <c r="K49" i="7"/>
  <c r="M30" i="7"/>
  <c r="K32" i="7"/>
  <c r="Q34" i="7"/>
  <c r="Q32" i="7"/>
  <c r="K48" i="7"/>
  <c r="K47" i="7"/>
  <c r="M29" i="7"/>
  <c r="Q19" i="7"/>
  <c r="M46" i="7"/>
  <c r="O31" i="7"/>
  <c r="M45" i="7"/>
  <c r="M33" i="7"/>
  <c r="M32" i="7"/>
  <c r="O27" i="7"/>
  <c r="K46" i="7"/>
  <c r="Q49" i="7"/>
  <c r="Q48" i="7"/>
  <c r="K34" i="7"/>
  <c r="K19" i="7"/>
  <c r="K35" i="7"/>
  <c r="K20" i="7"/>
  <c r="K36" i="7"/>
  <c r="K21" i="7"/>
  <c r="K37" i="7"/>
  <c r="K22" i="7"/>
  <c r="K38" i="7"/>
  <c r="K23" i="7"/>
  <c r="K39" i="7"/>
  <c r="K24" i="7"/>
  <c r="K27" i="7"/>
  <c r="K43" i="7"/>
  <c r="K40" i="7"/>
  <c r="K41" i="7"/>
  <c r="K25" i="7"/>
  <c r="K26" i="7"/>
  <c r="K42" i="7"/>
  <c r="K28" i="7"/>
  <c r="K44" i="7"/>
  <c r="M34" i="7"/>
  <c r="M19" i="7"/>
  <c r="M19" i="6" s="1"/>
  <c r="P19" i="6" s="1"/>
  <c r="M35" i="7"/>
  <c r="M20" i="7"/>
  <c r="M36" i="7"/>
  <c r="M21" i="7"/>
  <c r="M37" i="7"/>
  <c r="M22" i="7"/>
  <c r="M38" i="7"/>
  <c r="M24" i="7"/>
  <c r="M40" i="7"/>
  <c r="M27" i="7"/>
  <c r="M43" i="7"/>
  <c r="M23" i="7"/>
  <c r="M39" i="7"/>
  <c r="M25" i="7"/>
  <c r="M41" i="7"/>
  <c r="M26" i="7"/>
  <c r="M42" i="7"/>
  <c r="M28" i="7"/>
  <c r="M44" i="7"/>
  <c r="M47" i="7"/>
  <c r="Q46" i="7"/>
  <c r="Q30" i="7"/>
  <c r="O44" i="7"/>
  <c r="O28" i="7"/>
  <c r="Q45" i="7"/>
  <c r="Q29" i="7"/>
  <c r="O42" i="7"/>
  <c r="O26" i="7"/>
  <c r="Q43" i="7"/>
  <c r="Q27" i="7"/>
  <c r="O41" i="7"/>
  <c r="O25" i="7"/>
  <c r="Q42" i="7"/>
  <c r="Q26" i="7"/>
  <c r="Q44" i="7"/>
  <c r="Q28" i="7"/>
  <c r="O24" i="7"/>
  <c r="Q41" i="7"/>
  <c r="Q24" i="7"/>
  <c r="O40" i="7"/>
  <c r="Q25" i="7"/>
  <c r="O39" i="7"/>
  <c r="O23" i="7"/>
  <c r="Q40" i="7"/>
  <c r="O38" i="7"/>
  <c r="O22" i="7"/>
  <c r="Q39" i="7"/>
  <c r="Q23" i="7"/>
  <c r="J19" i="7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O37" i="7"/>
  <c r="O21" i="7"/>
  <c r="Q38" i="7"/>
  <c r="Q22" i="7"/>
  <c r="O36" i="7"/>
  <c r="O20" i="7"/>
  <c r="Q37" i="7"/>
  <c r="Q21" i="7"/>
  <c r="D8" i="7"/>
  <c r="O35" i="7"/>
  <c r="Q36" i="7"/>
  <c r="Q20" i="7"/>
  <c r="O19" i="7"/>
  <c r="O34" i="7"/>
  <c r="Q35" i="7"/>
  <c r="D7" i="6"/>
  <c r="R49" i="6"/>
  <c r="R20" i="6"/>
  <c r="R19" i="6"/>
  <c r="Q20" i="6"/>
  <c r="Q30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19" i="6"/>
  <c r="J19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F19" i="6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M10" i="6"/>
  <c r="K19" i="6" l="1"/>
  <c r="P25" i="7"/>
  <c r="N35" i="7"/>
  <c r="P35" i="7" s="1"/>
  <c r="N20" i="7"/>
  <c r="P20" i="7" s="1"/>
  <c r="N36" i="7"/>
  <c r="P36" i="7" s="1"/>
  <c r="N21" i="7"/>
  <c r="P21" i="7" s="1"/>
  <c r="N37" i="7"/>
  <c r="P37" i="7" s="1"/>
  <c r="N22" i="7"/>
  <c r="P22" i="7" s="1"/>
  <c r="N38" i="7"/>
  <c r="P38" i="7" s="1"/>
  <c r="N23" i="7"/>
  <c r="P23" i="7" s="1"/>
  <c r="N39" i="7"/>
  <c r="P39" i="7" s="1"/>
  <c r="N24" i="7"/>
  <c r="P24" i="7" s="1"/>
  <c r="N40" i="7"/>
  <c r="P40" i="7" s="1"/>
  <c r="N25" i="7"/>
  <c r="N28" i="7"/>
  <c r="P28" i="7" s="1"/>
  <c r="N44" i="7"/>
  <c r="P44" i="7" s="1"/>
  <c r="N41" i="7"/>
  <c r="P41" i="7" s="1"/>
  <c r="N26" i="7"/>
  <c r="P26" i="7" s="1"/>
  <c r="N42" i="7"/>
  <c r="P42" i="7" s="1"/>
  <c r="N27" i="7"/>
  <c r="P27" i="7" s="1"/>
  <c r="N43" i="7"/>
  <c r="P43" i="7" s="1"/>
  <c r="N29" i="7"/>
  <c r="P29" i="7" s="1"/>
  <c r="N45" i="7"/>
  <c r="P45" i="7" s="1"/>
  <c r="N32" i="7"/>
  <c r="P32" i="7" s="1"/>
  <c r="N33" i="7"/>
  <c r="P33" i="7" s="1"/>
  <c r="N34" i="7"/>
  <c r="P34" i="7" s="1"/>
  <c r="N46" i="7"/>
  <c r="P46" i="7" s="1"/>
  <c r="N49" i="7"/>
  <c r="P49" i="7" s="1"/>
  <c r="N19" i="7"/>
  <c r="N30" i="7"/>
  <c r="P30" i="7" s="1"/>
  <c r="N47" i="7"/>
  <c r="P47" i="7" s="1"/>
  <c r="N48" i="7"/>
  <c r="P48" i="7" s="1"/>
  <c r="N31" i="7"/>
  <c r="P31" i="7" s="1"/>
  <c r="M22" i="6"/>
  <c r="M27" i="6"/>
  <c r="M35" i="6"/>
  <c r="M43" i="6"/>
  <c r="M28" i="6"/>
  <c r="M36" i="6"/>
  <c r="M44" i="6"/>
  <c r="M20" i="6"/>
  <c r="M29" i="6"/>
  <c r="M37" i="6"/>
  <c r="M45" i="6"/>
  <c r="M21" i="6"/>
  <c r="M30" i="6"/>
  <c r="M38" i="6"/>
  <c r="M46" i="6"/>
  <c r="M23" i="6"/>
  <c r="M31" i="6"/>
  <c r="M39" i="6"/>
  <c r="M47" i="6"/>
  <c r="M24" i="6"/>
  <c r="M32" i="6"/>
  <c r="M40" i="6"/>
  <c r="M48" i="6"/>
  <c r="M25" i="6"/>
  <c r="M33" i="6"/>
  <c r="M41" i="6"/>
  <c r="M49" i="6"/>
  <c r="M26" i="6"/>
  <c r="M34" i="6"/>
  <c r="M42" i="6"/>
  <c r="O48" i="6"/>
  <c r="F49" i="6"/>
  <c r="O49" i="6" s="1"/>
  <c r="L58" i="6"/>
  <c r="L57" i="6"/>
  <c r="L55" i="6"/>
  <c r="O23" i="6"/>
  <c r="O44" i="6"/>
  <c r="O43" i="6"/>
  <c r="O25" i="6"/>
  <c r="O42" i="6"/>
  <c r="O29" i="6"/>
  <c r="O24" i="6"/>
  <c r="O22" i="6"/>
  <c r="O41" i="6"/>
  <c r="O36" i="6"/>
  <c r="O21" i="6"/>
  <c r="O20" i="6"/>
  <c r="O34" i="6"/>
  <c r="O33" i="6"/>
  <c r="O47" i="6"/>
  <c r="O32" i="6"/>
  <c r="O35" i="6"/>
  <c r="O19" i="6"/>
  <c r="O46" i="6"/>
  <c r="O31" i="6"/>
  <c r="O37" i="6"/>
  <c r="O45" i="6"/>
  <c r="O30" i="6"/>
  <c r="O40" i="6"/>
  <c r="O28" i="6"/>
  <c r="O39" i="6"/>
  <c r="O27" i="6"/>
  <c r="O38" i="6"/>
  <c r="O26" i="6"/>
  <c r="P19" i="7" l="1"/>
  <c r="L54" i="6"/>
  <c r="P49" i="6"/>
  <c r="D5" i="6"/>
  <c r="L48" i="6"/>
  <c r="P48" i="6" s="1"/>
  <c r="L47" i="6"/>
  <c r="P47" i="6" s="1"/>
  <c r="L46" i="6"/>
  <c r="P46" i="6" s="1"/>
  <c r="L45" i="6"/>
  <c r="P45" i="6" s="1"/>
  <c r="L44" i="6"/>
  <c r="P44" i="6" s="1"/>
  <c r="L43" i="6"/>
  <c r="P43" i="6" s="1"/>
  <c r="L42" i="6"/>
  <c r="P42" i="6" s="1"/>
  <c r="L41" i="6"/>
  <c r="P41" i="6" s="1"/>
  <c r="L40" i="6"/>
  <c r="P40" i="6" s="1"/>
  <c r="L39" i="6"/>
  <c r="P39" i="6" s="1"/>
  <c r="L38" i="6"/>
  <c r="P38" i="6" s="1"/>
  <c r="L37" i="6"/>
  <c r="P37" i="6" s="1"/>
  <c r="L36" i="6"/>
  <c r="P36" i="6" s="1"/>
  <c r="L35" i="6"/>
  <c r="P35" i="6" s="1"/>
  <c r="L34" i="6"/>
  <c r="P34" i="6" s="1"/>
  <c r="L33" i="6"/>
  <c r="P33" i="6" s="1"/>
  <c r="L32" i="6"/>
  <c r="P32" i="6" s="1"/>
  <c r="L31" i="6"/>
  <c r="P31" i="6" s="1"/>
  <c r="L30" i="6"/>
  <c r="P30" i="6" s="1"/>
  <c r="L29" i="6"/>
  <c r="P29" i="6" s="1"/>
  <c r="L28" i="6"/>
  <c r="P28" i="6" s="1"/>
  <c r="L27" i="6"/>
  <c r="P27" i="6" s="1"/>
  <c r="L26" i="6"/>
  <c r="P26" i="6" s="1"/>
  <c r="L25" i="6"/>
  <c r="P25" i="6" s="1"/>
  <c r="L24" i="6"/>
  <c r="P24" i="6" s="1"/>
  <c r="L23" i="6"/>
  <c r="P23" i="6" s="1"/>
  <c r="L22" i="6"/>
  <c r="P22" i="6" s="1"/>
  <c r="L21" i="6"/>
  <c r="P21" i="6" s="1"/>
  <c r="L20" i="6"/>
  <c r="P20" i="6" s="1"/>
  <c r="J20" i="6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D20" i="6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K47" i="6" l="1"/>
  <c r="K49" i="6"/>
  <c r="K35" i="6"/>
  <c r="K28" i="6"/>
  <c r="K22" i="6"/>
  <c r="K38" i="6"/>
  <c r="K41" i="6"/>
  <c r="K31" i="6"/>
  <c r="K25" i="6"/>
  <c r="K34" i="6"/>
  <c r="K42" i="6"/>
  <c r="K45" i="6"/>
  <c r="K44" i="6"/>
  <c r="K29" i="6"/>
  <c r="K32" i="6"/>
  <c r="K48" i="6"/>
  <c r="K23" i="6"/>
  <c r="K20" i="6"/>
  <c r="K46" i="6"/>
  <c r="K27" i="6"/>
  <c r="K43" i="6"/>
  <c r="K39" i="6"/>
  <c r="K26" i="6"/>
  <c r="K33" i="6"/>
  <c r="K30" i="6"/>
  <c r="K24" i="6"/>
  <c r="K40" i="6"/>
  <c r="K36" i="6"/>
  <c r="K21" i="6"/>
  <c r="K37" i="6"/>
  <c r="L53" i="6"/>
  <c r="S19" i="6" l="1"/>
  <c r="L52" i="6"/>
  <c r="S20" i="6" l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L56" i="6"/>
  <c r="L59" i="6" s="1"/>
</calcChain>
</file>

<file path=xl/sharedStrings.xml><?xml version="1.0" encoding="utf-8"?>
<sst xmlns="http://schemas.openxmlformats.org/spreadsheetml/2006/main" count="116" uniqueCount="55">
  <si>
    <t>Heads</t>
  </si>
  <si>
    <t>Details</t>
  </si>
  <si>
    <t>Sanction Load</t>
  </si>
  <si>
    <t>KVA</t>
  </si>
  <si>
    <t>Fixed charges</t>
  </si>
  <si>
    <t>Fixed per connection [ 15kVA X Rs 15]</t>
  </si>
  <si>
    <t xml:space="preserve">Energy charges </t>
  </si>
  <si>
    <t>Rs/ kWh on unit consumption</t>
  </si>
  <si>
    <t>Differential ECR ( Energy Charge Rate)</t>
  </si>
  <si>
    <t>DVC would provide by end of every month and this would be forward calculation</t>
  </si>
  <si>
    <t>MVCA ( Monthly Variable Cost Adjustment)</t>
  </si>
  <si>
    <t>Energy Duty (ED)</t>
  </si>
  <si>
    <t>Rebate</t>
  </si>
  <si>
    <t>Rs on E-Bill for a month</t>
  </si>
  <si>
    <t>Slab Number</t>
  </si>
  <si>
    <t>Unit From</t>
  </si>
  <si>
    <t>Unit To</t>
  </si>
  <si>
    <t>%age</t>
  </si>
  <si>
    <t>No. of Days</t>
  </si>
  <si>
    <t>Max</t>
  </si>
  <si>
    <t>Daily charge Calculation based on realtime data</t>
  </si>
  <si>
    <t>Date</t>
  </si>
  <si>
    <t>Fixed Charges in Rs</t>
  </si>
  <si>
    <t>Energy Charge in Rs</t>
  </si>
  <si>
    <t>Differential ECR in Rs</t>
  </si>
  <si>
    <t>MVCA in Rs</t>
  </si>
  <si>
    <t>ED Duty 
Slab</t>
  </si>
  <si>
    <t>Energy Duty in Rs</t>
  </si>
  <si>
    <t xml:space="preserve">Rebate  in Rs </t>
  </si>
  <si>
    <t xml:space="preserve">Ebill Opted </t>
  </si>
  <si>
    <t>Opening Balance</t>
  </si>
  <si>
    <t>=Fixed Charge/ No. of Calender Days</t>
  </si>
  <si>
    <t>=kwh x Energy Charge</t>
  </si>
  <si>
    <t>=kwh x Diff ECR Charge</t>
  </si>
  <si>
    <t>=kwh x MVCA Charge</t>
  </si>
  <si>
    <t>Refer Slabs</t>
  </si>
  <si>
    <t>Pre Paid Voucher Online get 1%  benefit</t>
  </si>
  <si>
    <t>=Rs 5 /No of Calender Days</t>
  </si>
  <si>
    <t>Sample Daily Consumption (kWh)</t>
  </si>
  <si>
    <t>Voucher in Rs ( Purchased online)</t>
  </si>
  <si>
    <t>Fixed Charges</t>
  </si>
  <si>
    <t>Energy Charges</t>
  </si>
  <si>
    <t>Diff ECR</t>
  </si>
  <si>
    <t>MVCA</t>
  </si>
  <si>
    <t>ED</t>
  </si>
  <si>
    <t>Voucher Recharge</t>
  </si>
  <si>
    <t>Ebill</t>
  </si>
  <si>
    <t>Gross Bill</t>
  </si>
  <si>
    <t>Month</t>
  </si>
  <si>
    <t xml:space="preserve">Sample Calculation </t>
  </si>
  <si>
    <t>Value</t>
  </si>
  <si>
    <t>Daily Profile 
OBIS Code from MDM</t>
  </si>
  <si>
    <t>Cumulative_Consumption_kWh</t>
  </si>
  <si>
    <t>UC to be defined to get Voucher details for daily calculation</t>
  </si>
  <si>
    <r>
      <t xml:space="preserve">Sample Daily Consumption </t>
    </r>
    <r>
      <rPr>
        <b/>
        <sz val="11"/>
        <color rgb="FFFF0000"/>
        <rFont val="Aptos Narrow"/>
        <family val="2"/>
        <scheme val="minor"/>
      </rPr>
      <t>July (kWh)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</si>
</sst>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_ * #,##0.0000_ ;_ * \-#,##0.0000_ ;_ * &quot;-&quot;??_ ;_ @_ "/>
    <numFmt numFmtId="166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/>
    </xf>
    <xf numFmtId="165" fontId="0" fillId="0" borderId="0" xfId="1" applyNumberFormat="1" applyFont="1"/>
    <xf numFmtId="165" fontId="1" fillId="0" borderId="0" xfId="1" applyNumberFormat="1" applyFont="1"/>
    <xf numFmtId="164" fontId="1" fillId="0" borderId="0" xfId="0" applyNumberFormat="1" applyFont="1"/>
    <xf numFmtId="1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43" fontId="0" fillId="0" borderId="0" xfId="1" applyFont="1"/>
    <xf numFmtId="43" fontId="1" fillId="0" borderId="0" xfId="1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/>
    <xf numFmtId="0" fontId="3" fillId="5" borderId="0" xfId="0" applyFont="1" applyFill="1"/>
    <xf numFmtId="0" fontId="0" fillId="0" borderId="3" xfId="0" applyBorder="1" applyAlignment="1">
      <alignment horizontal="center"/>
    </xf>
    <xf numFmtId="9" fontId="0" fillId="0" borderId="3" xfId="2" applyFont="1" applyBorder="1" applyAlignment="1">
      <alignment horizontal="center"/>
    </xf>
    <xf numFmtId="165" fontId="0" fillId="0" borderId="0" xfId="1" applyNumberFormat="1" applyFont="1" applyBorder="1"/>
    <xf numFmtId="43" fontId="0" fillId="0" borderId="0" xfId="1" applyFont="1" applyBorder="1"/>
    <xf numFmtId="43" fontId="0" fillId="0" borderId="2" xfId="1" applyFont="1" applyBorder="1"/>
    <xf numFmtId="43" fontId="0" fillId="0" borderId="0" xfId="1" applyFont="1" applyAlignment="1">
      <alignment horizontal="center"/>
    </xf>
    <xf numFmtId="0" fontId="1" fillId="4" borderId="2" xfId="0" quotePrefix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7" fontId="2" fillId="6" borderId="0" xfId="2" applyNumberFormat="1" applyFont="1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3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Continuous" vertical="top"/>
    </xf>
    <xf numFmtId="0" fontId="4" fillId="7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66" fontId="1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3" fontId="0" fillId="0" borderId="0" xfId="0" applyNumberFormat="1"/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3" fontId="6" fillId="0" borderId="0" xfId="1" applyFont="1"/>
    <xf numFmtId="0" fontId="6" fillId="0" borderId="0" xfId="0" applyFont="1"/>
  </cellXfs>
  <cellStyles count="4">
    <cellStyle name="Comma" xfId="1" builtinId="3"/>
    <cellStyle name="Comma 2" xfId="3" xr:uid="{9F86C863-CB92-4C3D-BAE9-9C7AF680AA5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F49C-DD90-4DEF-9378-6E3D7483B155}">
  <sheetPr codeName="Sheet1">
    <tabColor rgb="FF00B050"/>
  </sheetPr>
  <dimension ref="B2:U59"/>
  <sheetViews>
    <sheetView showGridLines="0" topLeftCell="J42" workbookViewId="0">
      <selection activeCell="L59" sqref="L59"/>
    </sheetView>
  </sheetViews>
  <sheetFormatPr defaultRowHeight="14.4" x14ac:dyDescent="0.3"/>
  <cols>
    <col min="2" max="2" width="12.5546875" customWidth="1"/>
    <col min="3" max="3" width="38.44140625" customWidth="1"/>
    <col min="4" max="4" width="18.44140625" customWidth="1"/>
    <col min="5" max="5" width="18.88671875" customWidth="1"/>
    <col min="6" max="6" width="16" customWidth="1"/>
    <col min="7" max="7" width="29.44140625" bestFit="1" customWidth="1"/>
    <col min="8" max="8" width="11" customWidth="1"/>
    <col min="9" max="9" width="9.5546875" customWidth="1"/>
    <col min="10" max="10" width="15.44140625" customWidth="1"/>
    <col min="11" max="11" width="11.33203125" customWidth="1"/>
    <col min="12" max="15" width="13.88671875" customWidth="1"/>
    <col min="16" max="16" width="12.109375" customWidth="1"/>
    <col min="17" max="17" width="16" customWidth="1"/>
    <col min="18" max="18" width="11.88671875" customWidth="1"/>
    <col min="19" max="19" width="23.109375" customWidth="1"/>
    <col min="21" max="21" width="12.109375" customWidth="1"/>
    <col min="23" max="24" width="17.88671875" customWidth="1"/>
    <col min="25" max="25" width="14.33203125" customWidth="1"/>
    <col min="26" max="26" width="18.88671875" bestFit="1" customWidth="1"/>
    <col min="27" max="27" width="17.6640625" bestFit="1" customWidth="1"/>
  </cols>
  <sheetData>
    <row r="2" spans="3:19" x14ac:dyDescent="0.3">
      <c r="C2" s="18" t="s">
        <v>49</v>
      </c>
    </row>
    <row r="3" spans="3:19" x14ac:dyDescent="0.3">
      <c r="C3" s="18" t="s">
        <v>0</v>
      </c>
      <c r="D3" s="29" t="s">
        <v>50</v>
      </c>
      <c r="E3" s="18" t="s">
        <v>1</v>
      </c>
      <c r="F3" s="18"/>
      <c r="G3" s="18"/>
    </row>
    <row r="4" spans="3:19" x14ac:dyDescent="0.3">
      <c r="C4" s="4" t="s">
        <v>2</v>
      </c>
      <c r="D4" s="28">
        <v>5</v>
      </c>
      <c r="E4" s="2" t="s">
        <v>3</v>
      </c>
      <c r="F4" s="2"/>
      <c r="G4" s="2"/>
    </row>
    <row r="5" spans="3:19" x14ac:dyDescent="0.3">
      <c r="C5" s="6" t="s">
        <v>4</v>
      </c>
      <c r="D5" s="28">
        <f>15*5</f>
        <v>75</v>
      </c>
      <c r="E5" s="2" t="s">
        <v>5</v>
      </c>
      <c r="F5" s="2"/>
      <c r="G5" s="2"/>
    </row>
    <row r="6" spans="3:19" x14ac:dyDescent="0.3">
      <c r="C6" s="6" t="s">
        <v>6</v>
      </c>
      <c r="D6" s="28">
        <v>6.61</v>
      </c>
      <c r="E6" s="2" t="s">
        <v>7</v>
      </c>
      <c r="F6" s="2"/>
      <c r="G6" s="2"/>
    </row>
    <row r="7" spans="3:19" x14ac:dyDescent="0.3">
      <c r="C7" s="6" t="s">
        <v>8</v>
      </c>
      <c r="D7" s="28">
        <f>46.8/100/Analyse!D11</f>
        <v>1.5599999999999999E-2</v>
      </c>
      <c r="E7" s="2" t="s">
        <v>9</v>
      </c>
      <c r="F7" s="2"/>
      <c r="G7" s="2"/>
    </row>
    <row r="8" spans="3:19" x14ac:dyDescent="0.3">
      <c r="C8" s="6" t="s">
        <v>10</v>
      </c>
      <c r="D8" s="28">
        <f>0.05/D11</f>
        <v>1.6666666666666668E-3</v>
      </c>
      <c r="E8" s="2" t="s">
        <v>9</v>
      </c>
      <c r="F8" s="2"/>
      <c r="G8" s="2"/>
      <c r="J8" s="6" t="s">
        <v>11</v>
      </c>
    </row>
    <row r="9" spans="3:19" x14ac:dyDescent="0.3">
      <c r="C9" s="6" t="s">
        <v>12</v>
      </c>
      <c r="D9" s="28">
        <v>5</v>
      </c>
      <c r="E9" s="2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3:19" x14ac:dyDescent="0.3">
      <c r="C10" s="6" t="s">
        <v>48</v>
      </c>
      <c r="D10" s="27">
        <v>45901</v>
      </c>
      <c r="E10" s="2"/>
      <c r="J10" s="19">
        <v>1</v>
      </c>
      <c r="K10" s="19">
        <v>0</v>
      </c>
      <c r="L10" s="19">
        <v>300</v>
      </c>
      <c r="M10" s="20">
        <f>$H$7</f>
        <v>0</v>
      </c>
    </row>
    <row r="11" spans="3:19" x14ac:dyDescent="0.3">
      <c r="C11" s="6" t="s">
        <v>18</v>
      </c>
      <c r="D11" s="28">
        <f>DAY(EOMONTH(D10,0))</f>
        <v>30</v>
      </c>
      <c r="J11" s="19">
        <v>2</v>
      </c>
      <c r="K11" s="19">
        <v>301</v>
      </c>
      <c r="L11" s="19" t="s">
        <v>19</v>
      </c>
      <c r="M11" s="20">
        <v>0.1</v>
      </c>
    </row>
    <row r="15" spans="3:19" x14ac:dyDescent="0.3">
      <c r="J15" s="1" t="s">
        <v>20</v>
      </c>
      <c r="N15" s="7"/>
    </row>
    <row r="16" spans="3:19" ht="42" customHeight="1" x14ac:dyDescent="0.3">
      <c r="J16" s="26" t="s">
        <v>21</v>
      </c>
      <c r="K16" s="26" t="s">
        <v>22</v>
      </c>
      <c r="L16" s="26" t="s">
        <v>23</v>
      </c>
      <c r="M16" s="26" t="s">
        <v>24</v>
      </c>
      <c r="N16" s="26" t="s">
        <v>25</v>
      </c>
      <c r="O16" s="26" t="s">
        <v>26</v>
      </c>
      <c r="P16" s="26" t="s">
        <v>27</v>
      </c>
      <c r="Q16" s="38" t="s">
        <v>28</v>
      </c>
      <c r="R16" s="26" t="s">
        <v>29</v>
      </c>
      <c r="S16" s="26" t="s">
        <v>30</v>
      </c>
    </row>
    <row r="17" spans="2:21" ht="42" customHeight="1" x14ac:dyDescent="0.3">
      <c r="B17" s="30" t="s">
        <v>51</v>
      </c>
      <c r="E17" s="30" t="s">
        <v>51</v>
      </c>
      <c r="G17" s="36" t="s">
        <v>53</v>
      </c>
      <c r="J17" s="26"/>
      <c r="K17" s="25" t="s">
        <v>31</v>
      </c>
      <c r="L17" s="25" t="s">
        <v>32</v>
      </c>
      <c r="M17" s="25" t="s">
        <v>33</v>
      </c>
      <c r="N17" s="25" t="s">
        <v>34</v>
      </c>
      <c r="O17" s="25" t="s">
        <v>14</v>
      </c>
      <c r="P17" s="26" t="s">
        <v>35</v>
      </c>
      <c r="Q17" s="38" t="s">
        <v>36</v>
      </c>
      <c r="R17" s="25" t="s">
        <v>37</v>
      </c>
      <c r="S17" s="26"/>
    </row>
    <row r="18" spans="2:21" ht="51" customHeight="1" x14ac:dyDescent="0.3">
      <c r="B18" s="12" t="s">
        <v>54</v>
      </c>
      <c r="D18" s="31" t="s">
        <v>21</v>
      </c>
      <c r="E18" s="12" t="s">
        <v>38</v>
      </c>
      <c r="F18" s="12" t="s">
        <v>52</v>
      </c>
      <c r="G18" s="12" t="s">
        <v>39</v>
      </c>
      <c r="J18" s="5"/>
      <c r="K18" s="5"/>
      <c r="L18" s="5"/>
      <c r="M18" s="5"/>
      <c r="N18" s="5"/>
      <c r="O18" s="5"/>
      <c r="P18" s="5"/>
      <c r="Q18" s="39"/>
      <c r="R18" s="5"/>
      <c r="S18" s="35">
        <v>0</v>
      </c>
    </row>
    <row r="19" spans="2:21" x14ac:dyDescent="0.3">
      <c r="B19" s="32">
        <v>48.368000000000002</v>
      </c>
      <c r="D19" s="10">
        <f>D10</f>
        <v>45901</v>
      </c>
      <c r="E19" s="32">
        <v>48.368000000000002</v>
      </c>
      <c r="F19" s="33">
        <f>E19</f>
        <v>48.368000000000002</v>
      </c>
      <c r="G19" s="11"/>
      <c r="J19" s="3">
        <f>D19</f>
        <v>45901</v>
      </c>
      <c r="K19" s="13">
        <f>Analyse!K19</f>
        <v>2.5</v>
      </c>
      <c r="L19" s="13">
        <f>Analyse!L19</f>
        <v>319.71249999999998</v>
      </c>
      <c r="M19" s="13">
        <f>Analyse!M19</f>
        <v>0.76</v>
      </c>
      <c r="N19" s="13">
        <f>ROUNDUP(B19*$D$8,4)</f>
        <v>8.0700000000000008E-2</v>
      </c>
      <c r="O19" s="24" t="str">
        <f t="shared" ref="O19:O48" si="0">IF(F19&lt;=$L$10,"1","2")</f>
        <v>1</v>
      </c>
      <c r="P19" s="13">
        <f t="shared" ref="P19:P48" si="1">ROUNDUP(SUM(L19:N19) * CHOOSE(O19, $M$10, $M$11), 4)</f>
        <v>0</v>
      </c>
      <c r="Q19" s="40">
        <f t="shared" ref="Q19:Q48" si="2">G19*(100%+1%)</f>
        <v>0</v>
      </c>
      <c r="R19" s="13">
        <f t="shared" ref="R19:R49" si="3">$D$9/$D$11</f>
        <v>0.16666666666666666</v>
      </c>
      <c r="S19" s="13">
        <f>ROUNDUP((S18-(K19+L19+M19+N19+P19-Q19-R19)),4)</f>
        <v>-322.88659999999999</v>
      </c>
    </row>
    <row r="20" spans="2:21" x14ac:dyDescent="0.3">
      <c r="B20" s="34">
        <v>48.448999999999998</v>
      </c>
      <c r="D20" s="10">
        <f>D19+1</f>
        <v>45902</v>
      </c>
      <c r="E20" s="34">
        <v>48.448999999999998</v>
      </c>
      <c r="F20" s="33">
        <f>F19+E20</f>
        <v>96.817000000000007</v>
      </c>
      <c r="G20" s="11"/>
      <c r="J20" s="3">
        <f t="shared" ref="J20:J49" si="4">J19+1</f>
        <v>45902</v>
      </c>
      <c r="K20" s="13">
        <f t="shared" ref="K19:K49" si="5">ROUNDUP($D$5/$D$11,4)</f>
        <v>2.5</v>
      </c>
      <c r="L20" s="13">
        <f t="shared" ref="L19:L48" si="6">ROUNDUP(E20*$D$6,4)</f>
        <v>320.24789999999996</v>
      </c>
      <c r="M20" s="13">
        <f t="shared" ref="M20:M49" si="7">ROUNDUP(B20*$D$7,4)</f>
        <v>0.75590000000000002</v>
      </c>
      <c r="N20" s="13">
        <f t="shared" ref="N20:N49" si="8">ROUNDUP(B20*$D$8,4)</f>
        <v>8.0799999999999997E-2</v>
      </c>
      <c r="O20" s="24" t="str">
        <f t="shared" si="0"/>
        <v>1</v>
      </c>
      <c r="P20" s="13">
        <f t="shared" si="1"/>
        <v>0</v>
      </c>
      <c r="Q20" s="40">
        <f t="shared" si="2"/>
        <v>0</v>
      </c>
      <c r="R20" s="13">
        <f t="shared" si="3"/>
        <v>0.16666666666666666</v>
      </c>
      <c r="S20" s="13">
        <f t="shared" ref="S20:S48" si="9">ROUNDUP((S19-(K20+L20+M20+N20+P20-Q20-R20)),4)</f>
        <v>-646.30459999999994</v>
      </c>
    </row>
    <row r="21" spans="2:21" x14ac:dyDescent="0.3">
      <c r="B21" s="34">
        <v>48.533000000000001</v>
      </c>
      <c r="D21" s="10">
        <f t="shared" ref="D21:D49" si="10">D20+1</f>
        <v>45903</v>
      </c>
      <c r="E21" s="34">
        <v>48.533000000000001</v>
      </c>
      <c r="F21" s="33">
        <f>F20+E21</f>
        <v>145.35000000000002</v>
      </c>
      <c r="G21" s="11">
        <v>500</v>
      </c>
      <c r="J21" s="3">
        <f t="shared" si="4"/>
        <v>45903</v>
      </c>
      <c r="K21" s="13">
        <f t="shared" si="5"/>
        <v>2.5</v>
      </c>
      <c r="L21" s="13">
        <f t="shared" si="6"/>
        <v>320.80319999999995</v>
      </c>
      <c r="M21" s="13">
        <f t="shared" si="7"/>
        <v>0.75719999999999998</v>
      </c>
      <c r="N21" s="13">
        <f t="shared" si="8"/>
        <v>8.09E-2</v>
      </c>
      <c r="O21" s="24" t="str">
        <f t="shared" si="0"/>
        <v>1</v>
      </c>
      <c r="P21" s="13">
        <f t="shared" si="1"/>
        <v>0</v>
      </c>
      <c r="Q21" s="40">
        <f t="shared" si="2"/>
        <v>505</v>
      </c>
      <c r="R21" s="13">
        <f t="shared" si="3"/>
        <v>0.16666666666666666</v>
      </c>
      <c r="S21" s="13">
        <f>ROUNDUP((S20-(K21+L21+M21+N21+P21-R21)),4)</f>
        <v>-970.27929999999992</v>
      </c>
    </row>
    <row r="22" spans="2:21" x14ac:dyDescent="0.3">
      <c r="B22" s="34">
        <v>48.62</v>
      </c>
      <c r="D22" s="10">
        <f t="shared" si="10"/>
        <v>45904</v>
      </c>
      <c r="E22" s="34">
        <v>48.62</v>
      </c>
      <c r="F22" s="33">
        <f>F21+E22</f>
        <v>193.97000000000003</v>
      </c>
      <c r="G22" s="11"/>
      <c r="J22" s="3">
        <f t="shared" si="4"/>
        <v>45904</v>
      </c>
      <c r="K22" s="13">
        <f t="shared" si="5"/>
        <v>2.5</v>
      </c>
      <c r="L22" s="13">
        <f t="shared" si="6"/>
        <v>321.37819999999999</v>
      </c>
      <c r="M22" s="13">
        <f t="shared" si="7"/>
        <v>0.75849999999999995</v>
      </c>
      <c r="N22" s="13">
        <f t="shared" si="8"/>
        <v>8.1100000000000005E-2</v>
      </c>
      <c r="O22" s="24" t="str">
        <f t="shared" si="0"/>
        <v>1</v>
      </c>
      <c r="P22" s="13">
        <f t="shared" si="1"/>
        <v>0</v>
      </c>
      <c r="Q22" s="40">
        <f t="shared" si="2"/>
        <v>0</v>
      </c>
      <c r="R22" s="13">
        <f t="shared" si="3"/>
        <v>0.16666666666666666</v>
      </c>
      <c r="S22" s="13">
        <f t="shared" si="9"/>
        <v>-1294.8305</v>
      </c>
    </row>
    <row r="23" spans="2:21" x14ac:dyDescent="0.3">
      <c r="B23" s="34">
        <v>48.704999999999998</v>
      </c>
      <c r="D23" s="10">
        <f t="shared" si="10"/>
        <v>45905</v>
      </c>
      <c r="E23" s="34">
        <v>48.704999999999998</v>
      </c>
      <c r="F23" s="33">
        <f>F22+E23</f>
        <v>242.67500000000001</v>
      </c>
      <c r="G23" s="11"/>
      <c r="J23" s="3">
        <f t="shared" si="4"/>
        <v>45905</v>
      </c>
      <c r="K23" s="13">
        <f t="shared" si="5"/>
        <v>2.5</v>
      </c>
      <c r="L23" s="13">
        <f t="shared" si="6"/>
        <v>321.94009999999997</v>
      </c>
      <c r="M23" s="13">
        <f t="shared" si="7"/>
        <v>0.75980000000000003</v>
      </c>
      <c r="N23" s="13">
        <f t="shared" si="8"/>
        <v>8.1200000000000008E-2</v>
      </c>
      <c r="O23" s="24" t="str">
        <f t="shared" si="0"/>
        <v>1</v>
      </c>
      <c r="P23" s="13">
        <f t="shared" si="1"/>
        <v>0</v>
      </c>
      <c r="Q23" s="40">
        <f t="shared" si="2"/>
        <v>0</v>
      </c>
      <c r="R23" s="13">
        <f t="shared" si="3"/>
        <v>0.16666666666666666</v>
      </c>
      <c r="S23" s="13">
        <f t="shared" si="9"/>
        <v>-1619.9449999999999</v>
      </c>
    </row>
    <row r="24" spans="2:21" x14ac:dyDescent="0.3">
      <c r="B24" s="34">
        <v>48.790999999999997</v>
      </c>
      <c r="D24" s="10">
        <f t="shared" si="10"/>
        <v>45906</v>
      </c>
      <c r="E24" s="34">
        <v>48.790999999999997</v>
      </c>
      <c r="F24" s="33">
        <f>F23+E24</f>
        <v>291.46600000000001</v>
      </c>
      <c r="G24" s="11"/>
      <c r="J24" s="3">
        <f t="shared" si="4"/>
        <v>45906</v>
      </c>
      <c r="K24" s="13">
        <f t="shared" si="5"/>
        <v>2.5</v>
      </c>
      <c r="L24" s="13">
        <f t="shared" si="6"/>
        <v>322.5086</v>
      </c>
      <c r="M24" s="13">
        <f t="shared" si="7"/>
        <v>0.76119999999999999</v>
      </c>
      <c r="N24" s="13">
        <f t="shared" si="8"/>
        <v>8.14E-2</v>
      </c>
      <c r="O24" s="24" t="str">
        <f t="shared" si="0"/>
        <v>1</v>
      </c>
      <c r="P24" s="13">
        <f t="shared" si="1"/>
        <v>0</v>
      </c>
      <c r="Q24" s="40">
        <f t="shared" si="2"/>
        <v>0</v>
      </c>
      <c r="R24" s="13">
        <f t="shared" si="3"/>
        <v>0.16666666666666666</v>
      </c>
      <c r="S24" s="13">
        <f t="shared" si="9"/>
        <v>-1945.6296</v>
      </c>
    </row>
    <row r="25" spans="2:21" x14ac:dyDescent="0.3">
      <c r="B25" s="34">
        <v>48.875999999999998</v>
      </c>
      <c r="D25" s="10">
        <f t="shared" si="10"/>
        <v>45907</v>
      </c>
      <c r="E25" s="34">
        <v>48.875999999999998</v>
      </c>
      <c r="F25" s="33">
        <f t="shared" ref="F25:F48" si="11">F24+E25</f>
        <v>340.34199999999998</v>
      </c>
      <c r="G25" s="11"/>
      <c r="J25" s="3">
        <f t="shared" si="4"/>
        <v>45907</v>
      </c>
      <c r="K25" s="13">
        <f t="shared" si="5"/>
        <v>2.5</v>
      </c>
      <c r="L25" s="13">
        <f t="shared" si="6"/>
        <v>323.07039999999995</v>
      </c>
      <c r="M25" s="13">
        <f t="shared" si="7"/>
        <v>0.76249999999999996</v>
      </c>
      <c r="N25" s="13">
        <f t="shared" si="8"/>
        <v>8.1500000000000003E-2</v>
      </c>
      <c r="O25" s="24" t="str">
        <f t="shared" si="0"/>
        <v>2</v>
      </c>
      <c r="P25" s="13">
        <f>ROUNDUP(SUM(L25:N25) * CHOOSE(O25, $M$10, $M$11), 4)</f>
        <v>32.391500000000001</v>
      </c>
      <c r="Q25" s="40">
        <f t="shared" si="2"/>
        <v>0</v>
      </c>
      <c r="R25" s="13">
        <f t="shared" si="3"/>
        <v>0.16666666666666666</v>
      </c>
      <c r="S25" s="13">
        <f t="shared" si="9"/>
        <v>-2304.2689</v>
      </c>
    </row>
    <row r="26" spans="2:21" x14ac:dyDescent="0.3">
      <c r="B26" s="34">
        <v>48.953000000000003</v>
      </c>
      <c r="D26" s="10">
        <f t="shared" si="10"/>
        <v>45908</v>
      </c>
      <c r="E26" s="34">
        <v>48.953000000000003</v>
      </c>
      <c r="F26" s="33">
        <f t="shared" si="11"/>
        <v>389.29499999999996</v>
      </c>
      <c r="G26" s="11"/>
      <c r="J26" s="3">
        <f t="shared" si="4"/>
        <v>45908</v>
      </c>
      <c r="K26" s="13">
        <f t="shared" si="5"/>
        <v>2.5</v>
      </c>
      <c r="L26" s="13">
        <f t="shared" si="6"/>
        <v>323.57939999999996</v>
      </c>
      <c r="M26" s="13">
        <f t="shared" si="7"/>
        <v>0.76369999999999993</v>
      </c>
      <c r="N26" s="13">
        <f t="shared" si="8"/>
        <v>8.1600000000000006E-2</v>
      </c>
      <c r="O26" s="24" t="str">
        <f t="shared" si="0"/>
        <v>2</v>
      </c>
      <c r="P26" s="13">
        <f t="shared" si="1"/>
        <v>32.442500000000003</v>
      </c>
      <c r="Q26" s="40">
        <f t="shared" si="2"/>
        <v>0</v>
      </c>
      <c r="R26" s="13">
        <f t="shared" si="3"/>
        <v>0.16666666666666666</v>
      </c>
      <c r="S26" s="13">
        <f t="shared" si="9"/>
        <v>-2663.4695000000002</v>
      </c>
    </row>
    <row r="27" spans="2:21" x14ac:dyDescent="0.3">
      <c r="B27" s="34">
        <v>49.031999999999996</v>
      </c>
      <c r="D27" s="10">
        <f t="shared" si="10"/>
        <v>45909</v>
      </c>
      <c r="E27" s="34">
        <v>49.031999999999996</v>
      </c>
      <c r="F27" s="33">
        <f t="shared" si="11"/>
        <v>438.32699999999994</v>
      </c>
      <c r="G27" s="11"/>
      <c r="J27" s="3">
        <f t="shared" si="4"/>
        <v>45909</v>
      </c>
      <c r="K27" s="13">
        <f t="shared" si="5"/>
        <v>2.5</v>
      </c>
      <c r="L27" s="13">
        <f t="shared" si="6"/>
        <v>324.10159999999996</v>
      </c>
      <c r="M27" s="13">
        <f t="shared" si="7"/>
        <v>0.76490000000000002</v>
      </c>
      <c r="N27" s="13">
        <f t="shared" si="8"/>
        <v>8.1799999999999998E-2</v>
      </c>
      <c r="O27" s="24" t="str">
        <f t="shared" si="0"/>
        <v>2</v>
      </c>
      <c r="P27" s="13">
        <f t="shared" si="1"/>
        <v>32.494900000000001</v>
      </c>
      <c r="Q27" s="40">
        <f t="shared" si="2"/>
        <v>0</v>
      </c>
      <c r="R27" s="13">
        <f t="shared" si="3"/>
        <v>0.16666666666666666</v>
      </c>
      <c r="S27" s="13">
        <f t="shared" si="9"/>
        <v>-3023.2461000000003</v>
      </c>
    </row>
    <row r="28" spans="2:21" x14ac:dyDescent="0.3">
      <c r="B28" s="34">
        <v>49.113</v>
      </c>
      <c r="D28" s="10">
        <f t="shared" si="10"/>
        <v>45910</v>
      </c>
      <c r="E28" s="34">
        <v>49.113</v>
      </c>
      <c r="F28" s="33">
        <f t="shared" si="11"/>
        <v>487.43999999999994</v>
      </c>
      <c r="G28" s="11"/>
      <c r="J28" s="3">
        <f t="shared" si="4"/>
        <v>45910</v>
      </c>
      <c r="K28" s="13">
        <f t="shared" si="5"/>
        <v>2.5</v>
      </c>
      <c r="L28" s="13">
        <f t="shared" si="6"/>
        <v>324.637</v>
      </c>
      <c r="M28" s="13">
        <f t="shared" si="7"/>
        <v>0.76619999999999999</v>
      </c>
      <c r="N28" s="13">
        <f t="shared" si="8"/>
        <v>8.1900000000000001E-2</v>
      </c>
      <c r="O28" s="24" t="str">
        <f t="shared" si="0"/>
        <v>2</v>
      </c>
      <c r="P28" s="13">
        <f t="shared" si="1"/>
        <v>32.5486</v>
      </c>
      <c r="Q28" s="40">
        <f t="shared" si="2"/>
        <v>0</v>
      </c>
      <c r="R28" s="13">
        <f t="shared" si="3"/>
        <v>0.16666666666666666</v>
      </c>
      <c r="S28" s="13">
        <f t="shared" si="9"/>
        <v>-3383.6132000000002</v>
      </c>
    </row>
    <row r="29" spans="2:21" x14ac:dyDescent="0.3">
      <c r="B29" s="34">
        <v>49.192</v>
      </c>
      <c r="D29" s="10">
        <f t="shared" si="10"/>
        <v>45911</v>
      </c>
      <c r="E29" s="34">
        <v>49.192</v>
      </c>
      <c r="F29" s="33">
        <f t="shared" si="11"/>
        <v>536.63199999999995</v>
      </c>
      <c r="G29" s="11"/>
      <c r="J29" s="3">
        <f t="shared" si="4"/>
        <v>45911</v>
      </c>
      <c r="K29" s="13">
        <f t="shared" si="5"/>
        <v>2.5</v>
      </c>
      <c r="L29" s="13">
        <f t="shared" si="6"/>
        <v>325.1592</v>
      </c>
      <c r="M29" s="13">
        <f t="shared" si="7"/>
        <v>0.76739999999999997</v>
      </c>
      <c r="N29" s="13">
        <f t="shared" si="8"/>
        <v>8.2000000000000003E-2</v>
      </c>
      <c r="O29" s="24" t="str">
        <f t="shared" si="0"/>
        <v>2</v>
      </c>
      <c r="P29" s="13">
        <f t="shared" si="1"/>
        <v>32.600900000000003</v>
      </c>
      <c r="Q29" s="40">
        <f t="shared" si="2"/>
        <v>0</v>
      </c>
      <c r="R29" s="13">
        <f t="shared" si="3"/>
        <v>0.16666666666666666</v>
      </c>
      <c r="S29" s="13">
        <f t="shared" si="9"/>
        <v>-3744.5561000000002</v>
      </c>
    </row>
    <row r="30" spans="2:21" x14ac:dyDescent="0.3">
      <c r="B30" s="34">
        <v>49.274999999999999</v>
      </c>
      <c r="D30" s="10">
        <f t="shared" si="10"/>
        <v>45912</v>
      </c>
      <c r="E30" s="34">
        <v>49.274999999999999</v>
      </c>
      <c r="F30" s="33">
        <f t="shared" si="11"/>
        <v>585.90699999999993</v>
      </c>
      <c r="G30" s="11"/>
      <c r="J30" s="3">
        <f t="shared" si="4"/>
        <v>45912</v>
      </c>
      <c r="K30" s="13">
        <f t="shared" si="5"/>
        <v>2.5</v>
      </c>
      <c r="L30" s="13">
        <f t="shared" si="6"/>
        <v>325.70779999999996</v>
      </c>
      <c r="M30" s="13">
        <f t="shared" si="7"/>
        <v>0.76869999999999994</v>
      </c>
      <c r="N30" s="13">
        <f t="shared" si="8"/>
        <v>8.2200000000000009E-2</v>
      </c>
      <c r="O30" s="24" t="str">
        <f t="shared" si="0"/>
        <v>2</v>
      </c>
      <c r="P30" s="13">
        <f t="shared" si="1"/>
        <v>32.655900000000003</v>
      </c>
      <c r="Q30" s="40">
        <f t="shared" si="2"/>
        <v>0</v>
      </c>
      <c r="R30" s="13">
        <f t="shared" si="3"/>
        <v>0.16666666666666666</v>
      </c>
      <c r="S30" s="13">
        <f t="shared" si="9"/>
        <v>-4106.1041000000005</v>
      </c>
    </row>
    <row r="31" spans="2:21" x14ac:dyDescent="0.3">
      <c r="B31" s="34">
        <v>49.353000000000002</v>
      </c>
      <c r="D31" s="10">
        <f t="shared" si="10"/>
        <v>45913</v>
      </c>
      <c r="E31" s="34">
        <v>49.353000000000002</v>
      </c>
      <c r="F31" s="33">
        <f t="shared" si="11"/>
        <v>635.25999999999988</v>
      </c>
      <c r="G31" s="11">
        <v>300</v>
      </c>
      <c r="J31" s="3">
        <f t="shared" si="4"/>
        <v>45913</v>
      </c>
      <c r="K31" s="13">
        <f t="shared" si="5"/>
        <v>2.5</v>
      </c>
      <c r="L31" s="13">
        <f t="shared" si="6"/>
        <v>326.22339999999997</v>
      </c>
      <c r="M31" s="13">
        <f t="shared" si="7"/>
        <v>0.77</v>
      </c>
      <c r="N31" s="13">
        <f t="shared" si="8"/>
        <v>8.2299999999999998E-2</v>
      </c>
      <c r="O31" s="24" t="str">
        <f t="shared" si="0"/>
        <v>2</v>
      </c>
      <c r="P31" s="13">
        <f t="shared" si="1"/>
        <v>32.707600000000006</v>
      </c>
      <c r="Q31" s="40">
        <f t="shared" si="2"/>
        <v>303</v>
      </c>
      <c r="R31" s="13">
        <f t="shared" si="3"/>
        <v>0.16666666666666666</v>
      </c>
      <c r="S31" s="13">
        <f t="shared" si="9"/>
        <v>-4165.2208000000001</v>
      </c>
      <c r="U31" s="37"/>
    </row>
    <row r="32" spans="2:21" x14ac:dyDescent="0.3">
      <c r="B32" s="34">
        <v>49.433999999999997</v>
      </c>
      <c r="D32" s="10">
        <f t="shared" si="10"/>
        <v>45914</v>
      </c>
      <c r="E32" s="34">
        <v>49.433999999999997</v>
      </c>
      <c r="F32" s="33">
        <f t="shared" si="11"/>
        <v>684.69399999999985</v>
      </c>
      <c r="G32" s="11"/>
      <c r="J32" s="3">
        <f t="shared" si="4"/>
        <v>45914</v>
      </c>
      <c r="K32" s="13">
        <f t="shared" si="5"/>
        <v>2.5</v>
      </c>
      <c r="L32" s="13">
        <f t="shared" si="6"/>
        <v>326.75879999999995</v>
      </c>
      <c r="M32" s="13">
        <f t="shared" si="7"/>
        <v>0.7712</v>
      </c>
      <c r="N32" s="13">
        <f t="shared" si="8"/>
        <v>8.2400000000000001E-2</v>
      </c>
      <c r="O32" s="24" t="str">
        <f t="shared" si="0"/>
        <v>2</v>
      </c>
      <c r="P32" s="13">
        <f t="shared" si="1"/>
        <v>32.761300000000006</v>
      </c>
      <c r="Q32" s="40">
        <f t="shared" si="2"/>
        <v>0</v>
      </c>
      <c r="R32" s="13">
        <f t="shared" si="3"/>
        <v>0.16666666666666666</v>
      </c>
      <c r="S32" s="13">
        <f t="shared" si="9"/>
        <v>-4527.9279000000006</v>
      </c>
      <c r="U32" s="37"/>
    </row>
    <row r="33" spans="2:21" x14ac:dyDescent="0.3">
      <c r="B33" s="34">
        <v>49.514000000000003</v>
      </c>
      <c r="D33" s="10">
        <f t="shared" si="10"/>
        <v>45915</v>
      </c>
      <c r="E33" s="34">
        <v>49.514000000000003</v>
      </c>
      <c r="F33" s="33">
        <f t="shared" si="11"/>
        <v>734.20799999999986</v>
      </c>
      <c r="G33" s="11"/>
      <c r="J33" s="3">
        <f t="shared" si="4"/>
        <v>45915</v>
      </c>
      <c r="K33" s="13">
        <f t="shared" si="5"/>
        <v>2.5</v>
      </c>
      <c r="L33" s="13">
        <f t="shared" si="6"/>
        <v>327.2876</v>
      </c>
      <c r="M33" s="13">
        <f t="shared" si="7"/>
        <v>0.77249999999999996</v>
      </c>
      <c r="N33" s="13">
        <f t="shared" si="8"/>
        <v>8.2600000000000007E-2</v>
      </c>
      <c r="O33" s="24" t="str">
        <f t="shared" si="0"/>
        <v>2</v>
      </c>
      <c r="P33" s="13">
        <f t="shared" si="1"/>
        <v>32.814300000000003</v>
      </c>
      <c r="Q33" s="40">
        <f t="shared" si="2"/>
        <v>0</v>
      </c>
      <c r="R33" s="13">
        <f t="shared" si="3"/>
        <v>0.16666666666666666</v>
      </c>
      <c r="S33" s="13">
        <f t="shared" si="9"/>
        <v>-4891.2183000000005</v>
      </c>
      <c r="U33" s="37"/>
    </row>
    <row r="34" spans="2:21" x14ac:dyDescent="0.3">
      <c r="B34" s="34">
        <v>49.6</v>
      </c>
      <c r="D34" s="10">
        <f t="shared" si="10"/>
        <v>45916</v>
      </c>
      <c r="E34" s="34">
        <v>49.6</v>
      </c>
      <c r="F34" s="33">
        <f t="shared" si="11"/>
        <v>783.80799999999988</v>
      </c>
      <c r="G34" s="11"/>
      <c r="J34" s="3">
        <f t="shared" si="4"/>
        <v>45916</v>
      </c>
      <c r="K34" s="13">
        <f t="shared" si="5"/>
        <v>2.5</v>
      </c>
      <c r="L34" s="13">
        <f t="shared" si="6"/>
        <v>327.85599999999999</v>
      </c>
      <c r="M34" s="13">
        <f t="shared" si="7"/>
        <v>0.77380000000000004</v>
      </c>
      <c r="N34" s="13">
        <f t="shared" si="8"/>
        <v>8.270000000000001E-2</v>
      </c>
      <c r="O34" s="24" t="str">
        <f t="shared" si="0"/>
        <v>2</v>
      </c>
      <c r="P34" s="13">
        <f t="shared" si="1"/>
        <v>32.871300000000005</v>
      </c>
      <c r="Q34" s="40">
        <f t="shared" si="2"/>
        <v>0</v>
      </c>
      <c r="R34" s="13">
        <f t="shared" si="3"/>
        <v>0.16666666666666666</v>
      </c>
      <c r="S34" s="13">
        <f t="shared" si="9"/>
        <v>-5255.1355000000003</v>
      </c>
    </row>
    <row r="35" spans="2:21" x14ac:dyDescent="0.3">
      <c r="B35" s="34">
        <v>49.683999999999997</v>
      </c>
      <c r="D35" s="10">
        <f t="shared" si="10"/>
        <v>45917</v>
      </c>
      <c r="E35" s="34">
        <v>49.683999999999997</v>
      </c>
      <c r="F35" s="33">
        <f t="shared" si="11"/>
        <v>833.49199999999985</v>
      </c>
      <c r="G35" s="11"/>
      <c r="J35" s="3">
        <f t="shared" si="4"/>
        <v>45917</v>
      </c>
      <c r="K35" s="13">
        <f t="shared" si="5"/>
        <v>2.5</v>
      </c>
      <c r="L35" s="13">
        <f t="shared" si="6"/>
        <v>328.41129999999998</v>
      </c>
      <c r="M35" s="13">
        <f t="shared" si="7"/>
        <v>0.77510000000000001</v>
      </c>
      <c r="N35" s="13">
        <f t="shared" si="8"/>
        <v>8.2900000000000001E-2</v>
      </c>
      <c r="O35" s="24" t="str">
        <f t="shared" si="0"/>
        <v>2</v>
      </c>
      <c r="P35" s="13">
        <f t="shared" si="1"/>
        <v>32.927000000000007</v>
      </c>
      <c r="Q35" s="40">
        <f t="shared" si="2"/>
        <v>0</v>
      </c>
      <c r="R35" s="13">
        <f t="shared" si="3"/>
        <v>0.16666666666666666</v>
      </c>
      <c r="S35" s="13">
        <f t="shared" si="9"/>
        <v>-5619.6652000000004</v>
      </c>
    </row>
    <row r="36" spans="2:21" x14ac:dyDescent="0.3">
      <c r="B36" s="34">
        <v>49.773000000000003</v>
      </c>
      <c r="D36" s="10">
        <f t="shared" si="10"/>
        <v>45918</v>
      </c>
      <c r="E36" s="34">
        <v>49.773000000000003</v>
      </c>
      <c r="F36" s="33">
        <f t="shared" si="11"/>
        <v>883.26499999999987</v>
      </c>
      <c r="G36" s="11"/>
      <c r="J36" s="3">
        <f t="shared" si="4"/>
        <v>45918</v>
      </c>
      <c r="K36" s="13">
        <f t="shared" si="5"/>
        <v>2.5</v>
      </c>
      <c r="L36" s="13">
        <f t="shared" si="6"/>
        <v>328.99959999999999</v>
      </c>
      <c r="M36" s="13">
        <f t="shared" si="7"/>
        <v>0.77649999999999997</v>
      </c>
      <c r="N36" s="13">
        <f t="shared" si="8"/>
        <v>8.3000000000000004E-2</v>
      </c>
      <c r="O36" s="24" t="str">
        <f t="shared" si="0"/>
        <v>2</v>
      </c>
      <c r="P36" s="13">
        <f t="shared" si="1"/>
        <v>32.986000000000004</v>
      </c>
      <c r="Q36" s="40">
        <f t="shared" si="2"/>
        <v>0</v>
      </c>
      <c r="R36" s="13">
        <f t="shared" si="3"/>
        <v>0.16666666666666666</v>
      </c>
      <c r="S36" s="13">
        <f t="shared" si="9"/>
        <v>-5984.8437000000004</v>
      </c>
    </row>
    <row r="37" spans="2:21" x14ac:dyDescent="0.3">
      <c r="B37" s="34">
        <v>49.862000000000002</v>
      </c>
      <c r="D37" s="10">
        <f t="shared" si="10"/>
        <v>45919</v>
      </c>
      <c r="E37" s="34">
        <v>49.862000000000002</v>
      </c>
      <c r="F37" s="33">
        <f t="shared" si="11"/>
        <v>933.12699999999984</v>
      </c>
      <c r="G37" s="11"/>
      <c r="J37" s="3">
        <f t="shared" si="4"/>
        <v>45919</v>
      </c>
      <c r="K37" s="13">
        <f t="shared" si="5"/>
        <v>2.5</v>
      </c>
      <c r="L37" s="13">
        <f t="shared" si="6"/>
        <v>329.58789999999999</v>
      </c>
      <c r="M37" s="13">
        <f t="shared" si="7"/>
        <v>0.77790000000000004</v>
      </c>
      <c r="N37" s="13">
        <f t="shared" si="8"/>
        <v>8.3199999999999996E-2</v>
      </c>
      <c r="O37" s="24" t="str">
        <f t="shared" si="0"/>
        <v>2</v>
      </c>
      <c r="P37" s="13">
        <f t="shared" si="1"/>
        <v>33.044899999999998</v>
      </c>
      <c r="Q37" s="40">
        <f t="shared" si="2"/>
        <v>0</v>
      </c>
      <c r="R37" s="13">
        <f t="shared" si="3"/>
        <v>0.16666666666666666</v>
      </c>
      <c r="S37" s="13">
        <f t="shared" si="9"/>
        <v>-6350.6710000000003</v>
      </c>
    </row>
    <row r="38" spans="2:21" x14ac:dyDescent="0.3">
      <c r="B38" s="34">
        <v>49.948999999999998</v>
      </c>
      <c r="D38" s="10">
        <f t="shared" si="10"/>
        <v>45920</v>
      </c>
      <c r="E38" s="34">
        <v>49.948999999999998</v>
      </c>
      <c r="F38" s="33">
        <f t="shared" si="11"/>
        <v>983.07599999999979</v>
      </c>
      <c r="G38" s="11"/>
      <c r="J38" s="3">
        <f t="shared" si="4"/>
        <v>45920</v>
      </c>
      <c r="K38" s="13">
        <f t="shared" si="5"/>
        <v>2.5</v>
      </c>
      <c r="L38" s="13">
        <f t="shared" si="6"/>
        <v>330.16289999999998</v>
      </c>
      <c r="M38" s="13">
        <f t="shared" si="7"/>
        <v>0.77929999999999999</v>
      </c>
      <c r="N38" s="13">
        <f t="shared" si="8"/>
        <v>8.3299999999999999E-2</v>
      </c>
      <c r="O38" s="24" t="str">
        <f t="shared" si="0"/>
        <v>2</v>
      </c>
      <c r="P38" s="13">
        <f t="shared" si="1"/>
        <v>33.102600000000002</v>
      </c>
      <c r="Q38" s="40">
        <f t="shared" si="2"/>
        <v>0</v>
      </c>
      <c r="R38" s="13">
        <f t="shared" si="3"/>
        <v>0.16666666666666666</v>
      </c>
      <c r="S38" s="13">
        <f t="shared" si="9"/>
        <v>-6717.1325000000006</v>
      </c>
    </row>
    <row r="39" spans="2:21" x14ac:dyDescent="0.3">
      <c r="B39" s="34">
        <v>50.052999999999997</v>
      </c>
      <c r="D39" s="10">
        <f t="shared" si="10"/>
        <v>45921</v>
      </c>
      <c r="E39" s="34">
        <v>50.052999999999997</v>
      </c>
      <c r="F39" s="33">
        <f t="shared" si="11"/>
        <v>1033.1289999999999</v>
      </c>
      <c r="G39" s="11"/>
      <c r="J39" s="3">
        <f t="shared" si="4"/>
        <v>45921</v>
      </c>
      <c r="K39" s="13">
        <f t="shared" si="5"/>
        <v>2.5</v>
      </c>
      <c r="L39" s="13">
        <f t="shared" si="6"/>
        <v>330.85039999999998</v>
      </c>
      <c r="M39" s="13">
        <f t="shared" si="7"/>
        <v>0.78090000000000004</v>
      </c>
      <c r="N39" s="13">
        <f t="shared" si="8"/>
        <v>8.3500000000000005E-2</v>
      </c>
      <c r="O39" s="24" t="str">
        <f t="shared" si="0"/>
        <v>2</v>
      </c>
      <c r="P39" s="13">
        <f t="shared" si="1"/>
        <v>33.171500000000002</v>
      </c>
      <c r="Q39" s="40">
        <f t="shared" si="2"/>
        <v>0</v>
      </c>
      <c r="R39" s="13">
        <f t="shared" si="3"/>
        <v>0.16666666666666666</v>
      </c>
      <c r="S39" s="13">
        <f t="shared" si="9"/>
        <v>-7084.3522000000003</v>
      </c>
    </row>
    <row r="40" spans="2:21" x14ac:dyDescent="0.3">
      <c r="B40" s="34">
        <v>50.146000000000001</v>
      </c>
      <c r="D40" s="10">
        <f t="shared" si="10"/>
        <v>45922</v>
      </c>
      <c r="E40" s="34">
        <v>50.146000000000001</v>
      </c>
      <c r="F40" s="33">
        <f t="shared" si="11"/>
        <v>1083.2749999999999</v>
      </c>
      <c r="G40" s="11"/>
      <c r="J40" s="3">
        <f t="shared" si="4"/>
        <v>45922</v>
      </c>
      <c r="K40" s="13">
        <f t="shared" si="5"/>
        <v>2.5</v>
      </c>
      <c r="L40" s="13">
        <f t="shared" si="6"/>
        <v>331.46509999999995</v>
      </c>
      <c r="M40" s="13">
        <f t="shared" si="7"/>
        <v>0.7823</v>
      </c>
      <c r="N40" s="13">
        <f t="shared" si="8"/>
        <v>8.3600000000000008E-2</v>
      </c>
      <c r="O40" s="24" t="str">
        <f t="shared" si="0"/>
        <v>2</v>
      </c>
      <c r="P40" s="13">
        <f t="shared" si="1"/>
        <v>33.2331</v>
      </c>
      <c r="Q40" s="40">
        <f t="shared" si="2"/>
        <v>0</v>
      </c>
      <c r="R40" s="13">
        <f t="shared" si="3"/>
        <v>0.16666666666666666</v>
      </c>
      <c r="S40" s="13">
        <f t="shared" si="9"/>
        <v>-7452.2497000000003</v>
      </c>
    </row>
    <row r="41" spans="2:21" x14ac:dyDescent="0.3">
      <c r="B41" s="34">
        <v>50.234000000000002</v>
      </c>
      <c r="D41" s="10">
        <f t="shared" si="10"/>
        <v>45923</v>
      </c>
      <c r="E41" s="34">
        <v>50.234000000000002</v>
      </c>
      <c r="F41" s="33">
        <f t="shared" si="11"/>
        <v>1133.5089999999998</v>
      </c>
      <c r="G41" s="11"/>
      <c r="J41" s="3">
        <f t="shared" si="4"/>
        <v>45923</v>
      </c>
      <c r="K41" s="13">
        <f t="shared" si="5"/>
        <v>2.5</v>
      </c>
      <c r="L41" s="13">
        <f t="shared" si="6"/>
        <v>332.04679999999996</v>
      </c>
      <c r="M41" s="13">
        <f t="shared" si="7"/>
        <v>0.78369999999999995</v>
      </c>
      <c r="N41" s="13">
        <f t="shared" si="8"/>
        <v>8.3799999999999999E-2</v>
      </c>
      <c r="O41" s="24" t="str">
        <f t="shared" si="0"/>
        <v>2</v>
      </c>
      <c r="P41" s="13">
        <f t="shared" si="1"/>
        <v>33.291500000000006</v>
      </c>
      <c r="Q41" s="40">
        <f t="shared" si="2"/>
        <v>0</v>
      </c>
      <c r="R41" s="13">
        <f t="shared" si="3"/>
        <v>0.16666666666666666</v>
      </c>
      <c r="S41" s="13">
        <f t="shared" si="9"/>
        <v>-7820.7889000000005</v>
      </c>
    </row>
    <row r="42" spans="2:21" x14ac:dyDescent="0.3">
      <c r="B42" s="34">
        <v>50.326000000000001</v>
      </c>
      <c r="D42" s="10">
        <f t="shared" si="10"/>
        <v>45924</v>
      </c>
      <c r="E42" s="34">
        <v>50.326000000000001</v>
      </c>
      <c r="F42" s="33">
        <f t="shared" si="11"/>
        <v>1183.8349999999998</v>
      </c>
      <c r="G42" s="11"/>
      <c r="J42" s="3">
        <f t="shared" si="4"/>
        <v>45924</v>
      </c>
      <c r="K42" s="13">
        <f t="shared" si="5"/>
        <v>2.5</v>
      </c>
      <c r="L42" s="13">
        <f t="shared" si="6"/>
        <v>332.6549</v>
      </c>
      <c r="M42" s="13">
        <f t="shared" si="7"/>
        <v>0.78510000000000002</v>
      </c>
      <c r="N42" s="13">
        <f t="shared" si="8"/>
        <v>8.3900000000000002E-2</v>
      </c>
      <c r="O42" s="24" t="str">
        <f t="shared" si="0"/>
        <v>2</v>
      </c>
      <c r="P42" s="13">
        <f t="shared" si="1"/>
        <v>33.352400000000003</v>
      </c>
      <c r="Q42" s="40">
        <f t="shared" si="2"/>
        <v>0</v>
      </c>
      <c r="R42" s="13">
        <f t="shared" si="3"/>
        <v>0.16666666666666666</v>
      </c>
      <c r="S42" s="13">
        <f t="shared" si="9"/>
        <v>-8189.9985999999999</v>
      </c>
    </row>
    <row r="43" spans="2:21" x14ac:dyDescent="0.3">
      <c r="B43" s="34">
        <v>50.408000000000001</v>
      </c>
      <c r="D43" s="10">
        <f t="shared" si="10"/>
        <v>45925</v>
      </c>
      <c r="E43" s="34">
        <v>50.408000000000001</v>
      </c>
      <c r="F43" s="33">
        <f t="shared" si="11"/>
        <v>1234.2429999999997</v>
      </c>
      <c r="G43" s="11"/>
      <c r="J43" s="3">
        <f t="shared" si="4"/>
        <v>45925</v>
      </c>
      <c r="K43" s="13">
        <f t="shared" si="5"/>
        <v>2.5</v>
      </c>
      <c r="L43" s="13">
        <f t="shared" si="6"/>
        <v>333.19689999999997</v>
      </c>
      <c r="M43" s="13">
        <f t="shared" si="7"/>
        <v>0.78639999999999999</v>
      </c>
      <c r="N43" s="13">
        <f t="shared" si="8"/>
        <v>8.4100000000000008E-2</v>
      </c>
      <c r="O43" s="24" t="str">
        <f t="shared" si="0"/>
        <v>2</v>
      </c>
      <c r="P43" s="13">
        <f t="shared" si="1"/>
        <v>33.406800000000004</v>
      </c>
      <c r="Q43" s="40">
        <f t="shared" si="2"/>
        <v>0</v>
      </c>
      <c r="R43" s="13">
        <f t="shared" si="3"/>
        <v>0.16666666666666666</v>
      </c>
      <c r="S43" s="13">
        <f t="shared" si="9"/>
        <v>-8559.8061999999991</v>
      </c>
    </row>
    <row r="44" spans="2:21" x14ac:dyDescent="0.3">
      <c r="B44" s="34">
        <v>50.408000000000001</v>
      </c>
      <c r="D44" s="10">
        <f t="shared" si="10"/>
        <v>45926</v>
      </c>
      <c r="E44" s="34">
        <v>50.408000000000001</v>
      </c>
      <c r="F44" s="33">
        <f t="shared" si="11"/>
        <v>1284.6509999999996</v>
      </c>
      <c r="G44" s="11"/>
      <c r="J44" s="3">
        <f t="shared" si="4"/>
        <v>45926</v>
      </c>
      <c r="K44" s="13">
        <f t="shared" si="5"/>
        <v>2.5</v>
      </c>
      <c r="L44" s="13">
        <f t="shared" si="6"/>
        <v>333.19689999999997</v>
      </c>
      <c r="M44" s="13">
        <f t="shared" si="7"/>
        <v>0.78639999999999999</v>
      </c>
      <c r="N44" s="13">
        <f t="shared" si="8"/>
        <v>8.4100000000000008E-2</v>
      </c>
      <c r="O44" s="24" t="str">
        <f t="shared" si="0"/>
        <v>2</v>
      </c>
      <c r="P44" s="13">
        <f t="shared" si="1"/>
        <v>33.406800000000004</v>
      </c>
      <c r="Q44" s="40">
        <f t="shared" si="2"/>
        <v>0</v>
      </c>
      <c r="R44" s="13">
        <f t="shared" si="3"/>
        <v>0.16666666666666666</v>
      </c>
      <c r="S44" s="13">
        <f t="shared" si="9"/>
        <v>-8929.6137999999992</v>
      </c>
    </row>
    <row r="45" spans="2:21" x14ac:dyDescent="0.3">
      <c r="B45" s="34">
        <v>50.482999999999997</v>
      </c>
      <c r="D45" s="10">
        <f t="shared" si="10"/>
        <v>45927</v>
      </c>
      <c r="E45" s="34">
        <v>50.482999999999997</v>
      </c>
      <c r="F45" s="33">
        <f t="shared" si="11"/>
        <v>1335.1339999999996</v>
      </c>
      <c r="G45" s="11"/>
      <c r="J45" s="3">
        <f t="shared" si="4"/>
        <v>45927</v>
      </c>
      <c r="K45" s="13">
        <f t="shared" si="5"/>
        <v>2.5</v>
      </c>
      <c r="L45" s="13">
        <f t="shared" si="6"/>
        <v>333.6927</v>
      </c>
      <c r="M45" s="13">
        <f t="shared" si="7"/>
        <v>0.78759999999999997</v>
      </c>
      <c r="N45" s="13">
        <f t="shared" si="8"/>
        <v>8.4199999999999997E-2</v>
      </c>
      <c r="O45" s="24" t="str">
        <f t="shared" si="0"/>
        <v>2</v>
      </c>
      <c r="P45" s="13">
        <f t="shared" si="1"/>
        <v>33.456500000000005</v>
      </c>
      <c r="Q45" s="40">
        <f t="shared" si="2"/>
        <v>0</v>
      </c>
      <c r="R45" s="13">
        <f t="shared" si="3"/>
        <v>0.16666666666666666</v>
      </c>
      <c r="S45" s="13">
        <f t="shared" si="9"/>
        <v>-9299.9681999999993</v>
      </c>
    </row>
    <row r="46" spans="2:21" x14ac:dyDescent="0.3">
      <c r="B46" s="34">
        <v>50.570999999999998</v>
      </c>
      <c r="D46" s="10">
        <f t="shared" si="10"/>
        <v>45928</v>
      </c>
      <c r="E46" s="34">
        <v>50.570999999999998</v>
      </c>
      <c r="F46" s="33">
        <f t="shared" si="11"/>
        <v>1385.7049999999995</v>
      </c>
      <c r="G46" s="11"/>
      <c r="J46" s="3">
        <f t="shared" si="4"/>
        <v>45928</v>
      </c>
      <c r="K46" s="13">
        <f t="shared" si="5"/>
        <v>2.5</v>
      </c>
      <c r="L46" s="13">
        <f t="shared" si="6"/>
        <v>334.27439999999996</v>
      </c>
      <c r="M46" s="13">
        <f t="shared" si="7"/>
        <v>0.78900000000000003</v>
      </c>
      <c r="N46" s="13">
        <f t="shared" si="8"/>
        <v>8.43E-2</v>
      </c>
      <c r="O46" s="24" t="str">
        <f t="shared" si="0"/>
        <v>2</v>
      </c>
      <c r="P46" s="13">
        <f t="shared" si="1"/>
        <v>33.514800000000001</v>
      </c>
      <c r="Q46" s="40">
        <f t="shared" si="2"/>
        <v>0</v>
      </c>
      <c r="R46" s="13">
        <f t="shared" si="3"/>
        <v>0.16666666666666666</v>
      </c>
      <c r="S46" s="13">
        <f t="shared" si="9"/>
        <v>-9670.9640999999992</v>
      </c>
    </row>
    <row r="47" spans="2:21" x14ac:dyDescent="0.3">
      <c r="B47" s="34">
        <v>50.646999999999998</v>
      </c>
      <c r="D47" s="10">
        <f t="shared" si="10"/>
        <v>45929</v>
      </c>
      <c r="E47" s="34">
        <v>50.646999999999998</v>
      </c>
      <c r="F47" s="33">
        <f t="shared" si="11"/>
        <v>1436.3519999999994</v>
      </c>
      <c r="G47" s="11"/>
      <c r="J47" s="3">
        <f t="shared" si="4"/>
        <v>45929</v>
      </c>
      <c r="K47" s="13">
        <f t="shared" si="5"/>
        <v>2.5</v>
      </c>
      <c r="L47" s="13">
        <f t="shared" si="6"/>
        <v>334.77669999999995</v>
      </c>
      <c r="M47" s="13">
        <f t="shared" si="7"/>
        <v>0.79010000000000002</v>
      </c>
      <c r="N47" s="13">
        <f t="shared" si="8"/>
        <v>8.4500000000000006E-2</v>
      </c>
      <c r="O47" s="24" t="str">
        <f t="shared" si="0"/>
        <v>2</v>
      </c>
      <c r="P47" s="13">
        <f t="shared" si="1"/>
        <v>33.565200000000004</v>
      </c>
      <c r="Q47" s="40">
        <f t="shared" si="2"/>
        <v>0</v>
      </c>
      <c r="R47" s="13">
        <f t="shared" si="3"/>
        <v>0.16666666666666666</v>
      </c>
      <c r="S47" s="13">
        <f t="shared" si="9"/>
        <v>-10042.513999999999</v>
      </c>
    </row>
    <row r="48" spans="2:21" x14ac:dyDescent="0.3">
      <c r="B48" s="34">
        <v>50.731000000000002</v>
      </c>
      <c r="D48" s="10">
        <f t="shared" si="10"/>
        <v>45930</v>
      </c>
      <c r="E48" s="34">
        <v>50.731000000000002</v>
      </c>
      <c r="F48" s="33">
        <f t="shared" si="11"/>
        <v>1487.0829999999994</v>
      </c>
      <c r="G48" s="11"/>
      <c r="J48" s="3">
        <f t="shared" si="4"/>
        <v>45930</v>
      </c>
      <c r="K48" s="13">
        <f t="shared" si="5"/>
        <v>2.5</v>
      </c>
      <c r="L48" s="13">
        <f t="shared" si="6"/>
        <v>335.33199999999999</v>
      </c>
      <c r="M48" s="13">
        <f t="shared" si="7"/>
        <v>0.79149999999999998</v>
      </c>
      <c r="N48" s="13">
        <f t="shared" si="8"/>
        <v>8.4600000000000009E-2</v>
      </c>
      <c r="O48" s="24" t="str">
        <f t="shared" si="0"/>
        <v>2</v>
      </c>
      <c r="P48" s="13">
        <f t="shared" si="1"/>
        <v>33.620900000000006</v>
      </c>
      <c r="Q48" s="40">
        <f t="shared" si="2"/>
        <v>0</v>
      </c>
      <c r="R48" s="13">
        <f t="shared" si="3"/>
        <v>0.16666666666666666</v>
      </c>
      <c r="S48" s="13">
        <f t="shared" si="9"/>
        <v>-10414.676399999998</v>
      </c>
    </row>
    <row r="49" spans="2:19" x14ac:dyDescent="0.3">
      <c r="B49" s="34">
        <v>51.731000000000002</v>
      </c>
      <c r="D49" s="10">
        <f t="shared" si="10"/>
        <v>45931</v>
      </c>
      <c r="E49" s="34">
        <v>51.731000000000002</v>
      </c>
      <c r="F49" s="33">
        <f t="shared" ref="F49" si="12">F48+E49</f>
        <v>1538.8139999999994</v>
      </c>
      <c r="G49" s="11"/>
      <c r="J49" s="3">
        <f t="shared" si="4"/>
        <v>45931</v>
      </c>
      <c r="K49" s="13">
        <f t="shared" si="5"/>
        <v>2.5</v>
      </c>
      <c r="L49" s="13">
        <f t="shared" ref="L49" si="13">ROUNDUP(E49*$D$6,4)</f>
        <v>341.94199999999995</v>
      </c>
      <c r="M49" s="13">
        <f t="shared" si="7"/>
        <v>0.80710000000000004</v>
      </c>
      <c r="N49" s="13">
        <f t="shared" si="8"/>
        <v>8.6300000000000002E-2</v>
      </c>
      <c r="O49" s="24" t="str">
        <f t="shared" ref="O49" si="14">IF(F49&lt;=$L$10,"1","2")</f>
        <v>2</v>
      </c>
      <c r="P49" s="13">
        <f t="shared" ref="P49" si="15">ROUNDUP(SUM(L49:N49) * CHOOSE(O49, $M$10, $M$11), 4)</f>
        <v>34.2836</v>
      </c>
      <c r="Q49" s="40">
        <f t="shared" ref="Q49" si="16">G49*(100%+1%)</f>
        <v>0</v>
      </c>
      <c r="R49" s="13">
        <f t="shared" si="3"/>
        <v>0.16666666666666666</v>
      </c>
      <c r="S49" s="13">
        <f t="shared" ref="S49" si="17">ROUNDUP((S48-(K49+L49+M49+N49+P49-Q49-R49)),4)</f>
        <v>-10794.128799999999</v>
      </c>
    </row>
    <row r="50" spans="2:19" x14ac:dyDescent="0.3">
      <c r="J50" s="3"/>
      <c r="Q50" s="41"/>
      <c r="S50" s="9"/>
    </row>
    <row r="52" spans="2:19" x14ac:dyDescent="0.3">
      <c r="J52" s="15" t="s">
        <v>40</v>
      </c>
      <c r="L52" s="13">
        <f>SUM(K19:K50)</f>
        <v>77.5</v>
      </c>
      <c r="M52" s="7"/>
      <c r="N52" s="7"/>
      <c r="O52" s="7"/>
    </row>
    <row r="53" spans="2:19" x14ac:dyDescent="0.3">
      <c r="J53" s="15" t="s">
        <v>41</v>
      </c>
      <c r="L53" s="13">
        <f>SUM(L19:L50)</f>
        <v>10171.5622</v>
      </c>
      <c r="M53" s="7"/>
      <c r="N53" s="7"/>
      <c r="O53" s="7"/>
    </row>
    <row r="54" spans="2:19" x14ac:dyDescent="0.3">
      <c r="J54" s="15" t="s">
        <v>42</v>
      </c>
      <c r="L54" s="13">
        <f>SUM(M20:M51)</f>
        <v>23.252400000000002</v>
      </c>
      <c r="M54" s="7"/>
      <c r="N54" s="7"/>
      <c r="O54" s="7"/>
    </row>
    <row r="55" spans="2:19" x14ac:dyDescent="0.3">
      <c r="J55" s="15" t="s">
        <v>43</v>
      </c>
      <c r="L55" s="13">
        <f>SUM(N21:N52)</f>
        <v>2.4048999999999996</v>
      </c>
      <c r="M55" s="7"/>
      <c r="N55" s="7"/>
      <c r="O55" s="7"/>
    </row>
    <row r="56" spans="2:19" x14ac:dyDescent="0.3">
      <c r="J56" s="15" t="s">
        <v>44</v>
      </c>
      <c r="L56" s="13">
        <f>SUM(P19:P50)</f>
        <v>826.65240000000006</v>
      </c>
      <c r="M56" s="7"/>
      <c r="N56" s="7"/>
      <c r="O56" s="7"/>
    </row>
    <row r="57" spans="2:19" x14ac:dyDescent="0.3">
      <c r="J57" s="15" t="s">
        <v>45</v>
      </c>
      <c r="L57" s="22">
        <f>-SUM(Q19:Q50)</f>
        <v>-808</v>
      </c>
      <c r="M57" s="21"/>
      <c r="N57" s="21"/>
      <c r="O57" s="21"/>
    </row>
    <row r="58" spans="2:19" x14ac:dyDescent="0.3">
      <c r="J58" s="16" t="s">
        <v>46</v>
      </c>
      <c r="K58" s="17"/>
      <c r="L58" s="23">
        <f>-SUM(R19:R50)</f>
        <v>-5.166666666666667</v>
      </c>
      <c r="M58" s="21"/>
      <c r="N58" s="21"/>
      <c r="O58" s="21"/>
    </row>
    <row r="59" spans="2:19" x14ac:dyDescent="0.3">
      <c r="J59" s="15" t="s">
        <v>47</v>
      </c>
      <c r="L59" s="14">
        <f>SUM(L52:L58)</f>
        <v>10288.205233333334</v>
      </c>
      <c r="M59" s="8"/>
      <c r="N59" s="8"/>
      <c r="O59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85A9-4805-4836-A621-6953EC63A09F}">
  <dimension ref="B2:R59"/>
  <sheetViews>
    <sheetView tabSelected="1" topLeftCell="H43" workbookViewId="0">
      <selection activeCell="K59" sqref="K59"/>
    </sheetView>
  </sheetViews>
  <sheetFormatPr defaultRowHeight="14.4" x14ac:dyDescent="0.3"/>
  <cols>
    <col min="2" max="2" width="20.5546875" customWidth="1"/>
    <col min="3" max="3" width="13.77734375" customWidth="1"/>
    <col min="4" max="4" width="21.44140625" customWidth="1"/>
    <col min="5" max="5" width="25.88671875" customWidth="1"/>
    <col min="6" max="6" width="19.77734375" customWidth="1"/>
    <col min="7" max="7" width="28.88671875" customWidth="1"/>
    <col min="10" max="10" width="30.77734375" customWidth="1"/>
    <col min="11" max="11" width="14.88671875" customWidth="1"/>
    <col min="12" max="12" width="16.44140625" customWidth="1"/>
    <col min="13" max="13" width="18.109375" customWidth="1"/>
    <col min="14" max="14" width="16.6640625" customWidth="1"/>
    <col min="18" max="18" width="24.21875" customWidth="1"/>
  </cols>
  <sheetData>
    <row r="2" spans="3:18" x14ac:dyDescent="0.3">
      <c r="C2" s="18" t="s">
        <v>49</v>
      </c>
    </row>
    <row r="3" spans="3:18" x14ac:dyDescent="0.3">
      <c r="C3" s="18" t="s">
        <v>0</v>
      </c>
      <c r="D3" s="29" t="s">
        <v>50</v>
      </c>
      <c r="E3" s="18" t="s">
        <v>1</v>
      </c>
      <c r="F3" s="18"/>
      <c r="G3" s="18"/>
    </row>
    <row r="4" spans="3:18" x14ac:dyDescent="0.3">
      <c r="C4" s="4" t="s">
        <v>2</v>
      </c>
      <c r="D4" s="28">
        <v>5</v>
      </c>
      <c r="E4" s="2" t="s">
        <v>3</v>
      </c>
    </row>
    <row r="5" spans="3:18" x14ac:dyDescent="0.3">
      <c r="C5" s="6" t="s">
        <v>4</v>
      </c>
      <c r="D5" s="28">
        <f>15*5</f>
        <v>75</v>
      </c>
      <c r="E5" s="2" t="s">
        <v>5</v>
      </c>
    </row>
    <row r="6" spans="3:18" x14ac:dyDescent="0.3">
      <c r="C6" s="6" t="s">
        <v>6</v>
      </c>
      <c r="D6" s="28">
        <v>6.61</v>
      </c>
      <c r="E6" s="2" t="s">
        <v>7</v>
      </c>
    </row>
    <row r="7" spans="3:18" x14ac:dyDescent="0.3">
      <c r="C7" s="6" t="s">
        <v>8</v>
      </c>
      <c r="D7">
        <f>46.8/100/D11</f>
        <v>1.5599999999999999E-2</v>
      </c>
      <c r="E7" s="2" t="s">
        <v>9</v>
      </c>
    </row>
    <row r="8" spans="3:18" x14ac:dyDescent="0.3">
      <c r="C8" s="6" t="s">
        <v>10</v>
      </c>
      <c r="D8">
        <f>0.05/D11</f>
        <v>1.6666666666666668E-3</v>
      </c>
      <c r="E8" s="2" t="s">
        <v>9</v>
      </c>
      <c r="J8" s="6" t="s">
        <v>11</v>
      </c>
    </row>
    <row r="9" spans="3:18" x14ac:dyDescent="0.3">
      <c r="C9" s="6" t="s">
        <v>12</v>
      </c>
      <c r="D9" s="28">
        <v>5</v>
      </c>
      <c r="E9" s="2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3:18" x14ac:dyDescent="0.3">
      <c r="C10" s="6" t="s">
        <v>48</v>
      </c>
      <c r="D10" s="27">
        <v>45901</v>
      </c>
      <c r="J10" s="19">
        <v>1</v>
      </c>
      <c r="K10" s="19">
        <v>0</v>
      </c>
      <c r="L10" s="19">
        <v>300</v>
      </c>
      <c r="M10" s="20">
        <f>$H$7</f>
        <v>0</v>
      </c>
    </row>
    <row r="11" spans="3:18" x14ac:dyDescent="0.3">
      <c r="C11" s="6" t="s">
        <v>18</v>
      </c>
      <c r="D11" s="28">
        <f>DAY(EOMONTH(D10,0))</f>
        <v>30</v>
      </c>
      <c r="J11" s="19">
        <v>2</v>
      </c>
      <c r="K11" s="19">
        <v>301</v>
      </c>
      <c r="L11" s="19" t="s">
        <v>19</v>
      </c>
      <c r="M11" s="20">
        <v>0.1</v>
      </c>
    </row>
    <row r="15" spans="3:18" x14ac:dyDescent="0.3">
      <c r="J15" s="1" t="s">
        <v>20</v>
      </c>
      <c r="N15" s="7"/>
    </row>
    <row r="16" spans="3:18" ht="43.2" x14ac:dyDescent="0.3">
      <c r="J16" s="26" t="s">
        <v>21</v>
      </c>
      <c r="K16" s="26" t="s">
        <v>22</v>
      </c>
      <c r="L16" s="26" t="s">
        <v>23</v>
      </c>
      <c r="M16" s="26" t="s">
        <v>24</v>
      </c>
      <c r="N16" s="26" t="s">
        <v>25</v>
      </c>
      <c r="O16" s="26" t="s">
        <v>26</v>
      </c>
      <c r="P16" s="26" t="s">
        <v>27</v>
      </c>
      <c r="Q16" s="26" t="s">
        <v>29</v>
      </c>
      <c r="R16" s="26" t="s">
        <v>30</v>
      </c>
    </row>
    <row r="17" spans="2:18" ht="57.6" x14ac:dyDescent="0.3">
      <c r="B17" s="30" t="s">
        <v>51</v>
      </c>
      <c r="E17" s="30" t="s">
        <v>51</v>
      </c>
      <c r="G17" s="36" t="s">
        <v>53</v>
      </c>
      <c r="J17" s="26"/>
      <c r="K17" s="25" t="s">
        <v>31</v>
      </c>
      <c r="L17" s="25" t="s">
        <v>32</v>
      </c>
      <c r="M17" s="25" t="s">
        <v>33</v>
      </c>
      <c r="N17" s="25" t="s">
        <v>34</v>
      </c>
      <c r="O17" s="25" t="s">
        <v>14</v>
      </c>
      <c r="P17" s="26" t="s">
        <v>35</v>
      </c>
      <c r="Q17" s="25" t="s">
        <v>37</v>
      </c>
      <c r="R17" s="26"/>
    </row>
    <row r="18" spans="2:18" ht="43.2" x14ac:dyDescent="0.3">
      <c r="B18" s="12" t="s">
        <v>54</v>
      </c>
      <c r="D18" s="31" t="s">
        <v>21</v>
      </c>
      <c r="E18" s="12" t="s">
        <v>38</v>
      </c>
      <c r="F18" s="12" t="s">
        <v>52</v>
      </c>
      <c r="G18" s="12" t="s">
        <v>39</v>
      </c>
      <c r="J18" s="5"/>
      <c r="K18" s="5"/>
      <c r="L18" s="5"/>
      <c r="M18" s="5"/>
      <c r="N18" s="5"/>
      <c r="O18" s="5"/>
      <c r="P18" s="5"/>
      <c r="Q18" s="5"/>
      <c r="R18" s="35">
        <v>0</v>
      </c>
    </row>
    <row r="19" spans="2:18" x14ac:dyDescent="0.3">
      <c r="B19" s="32">
        <v>48.368000000000002</v>
      </c>
      <c r="D19" s="10">
        <f>D10</f>
        <v>45901</v>
      </c>
      <c r="E19" s="32">
        <v>48.368000000000002</v>
      </c>
      <c r="F19" s="33">
        <f>E19</f>
        <v>48.368000000000002</v>
      </c>
      <c r="J19" s="10">
        <f>D19</f>
        <v>45901</v>
      </c>
      <c r="K19">
        <f>ROUNDUP($D$5/$D$11,4)</f>
        <v>2.5</v>
      </c>
      <c r="L19" s="37">
        <f>ROUNDUP(E19*$D$6,4)</f>
        <v>319.71249999999998</v>
      </c>
      <c r="M19">
        <f>ROUNDUP(B19*$D$7, 2)</f>
        <v>0.76</v>
      </c>
      <c r="N19">
        <f>ROUNDUP(B19*$D$8,4)</f>
        <v>8.0700000000000008E-2</v>
      </c>
      <c r="O19" t="str">
        <f>IF(F19 &lt;= $L$10, "1", "2")</f>
        <v>1</v>
      </c>
      <c r="P19">
        <f>ROUNDUP(SUM(L19:N19) *CHOOSE(O19, $M$10, $M$11), 2)</f>
        <v>0</v>
      </c>
      <c r="Q19">
        <f>ROUND($D$9/$D$11, 2)</f>
        <v>0.17</v>
      </c>
      <c r="R19" s="37">
        <f>ROUNDUP(R18 - (K19 +L19+M19+N19+P19-Q19), 4)</f>
        <v>-322.88319999999999</v>
      </c>
    </row>
    <row r="20" spans="2:18" x14ac:dyDescent="0.3">
      <c r="B20" s="34">
        <v>48.448999999999998</v>
      </c>
      <c r="D20" s="10">
        <f>D19+1</f>
        <v>45902</v>
      </c>
      <c r="E20" s="34">
        <v>48.448999999999998</v>
      </c>
      <c r="F20" s="33">
        <f>F19+E20</f>
        <v>96.817000000000007</v>
      </c>
      <c r="J20" s="10">
        <f t="shared" ref="J20:J49" si="0">J19+1</f>
        <v>45902</v>
      </c>
      <c r="K20">
        <f t="shared" ref="K20:K49" si="1">ROUNDUP($D$5/$D$11,4)</f>
        <v>2.5</v>
      </c>
      <c r="L20" s="37">
        <f t="shared" ref="L20:L49" si="2">ROUNDUP(E20*$D$6,4)</f>
        <v>320.24789999999996</v>
      </c>
      <c r="M20">
        <f t="shared" ref="M20:M49" si="3">ROUNDUP(B20*$D$7, 2)</f>
        <v>0.76</v>
      </c>
      <c r="N20">
        <f t="shared" ref="N20:N49" si="4">ROUNDUP(B20*$D$8,4)</f>
        <v>8.0799999999999997E-2</v>
      </c>
      <c r="O20" t="str">
        <f t="shared" ref="O20:O49" si="5">IF(F20 &lt;= $L$10, "1", "2")</f>
        <v>1</v>
      </c>
      <c r="P20">
        <f t="shared" ref="P20:P49" si="6">ROUNDUP(SUM(L20:N20) *CHOOSE(O20, $M$10, $M$11), 2)</f>
        <v>0</v>
      </c>
      <c r="Q20">
        <f t="shared" ref="Q20:Q49" si="7">ROUND($D$9/$D$11, 2)</f>
        <v>0.17</v>
      </c>
      <c r="R20" s="37">
        <f t="shared" ref="R20:R49" si="8">ROUNDUP(R19 - (K20 +L20+M20+N20+P20-Q20), 4)</f>
        <v>-646.30190000000005</v>
      </c>
    </row>
    <row r="21" spans="2:18" x14ac:dyDescent="0.3">
      <c r="B21" s="34">
        <v>48.533000000000001</v>
      </c>
      <c r="D21" s="10">
        <f t="shared" ref="D21:D49" si="9">D20+1</f>
        <v>45903</v>
      </c>
      <c r="E21" s="34">
        <v>48.533000000000001</v>
      </c>
      <c r="F21" s="33">
        <f>F20+E21</f>
        <v>145.35000000000002</v>
      </c>
      <c r="G21" s="11">
        <v>500</v>
      </c>
      <c r="J21" s="10">
        <f t="shared" si="0"/>
        <v>45903</v>
      </c>
      <c r="K21">
        <f t="shared" si="1"/>
        <v>2.5</v>
      </c>
      <c r="L21" s="37">
        <f t="shared" si="2"/>
        <v>320.80319999999995</v>
      </c>
      <c r="M21">
        <f t="shared" si="3"/>
        <v>0.76</v>
      </c>
      <c r="N21">
        <f t="shared" si="4"/>
        <v>8.09E-2</v>
      </c>
      <c r="O21" t="str">
        <f t="shared" si="5"/>
        <v>1</v>
      </c>
      <c r="P21">
        <f t="shared" si="6"/>
        <v>0</v>
      </c>
      <c r="Q21">
        <f t="shared" si="7"/>
        <v>0.17</v>
      </c>
      <c r="R21" s="37">
        <f t="shared" si="8"/>
        <v>-970.27599999999995</v>
      </c>
    </row>
    <row r="22" spans="2:18" x14ac:dyDescent="0.3">
      <c r="B22" s="34">
        <v>48.62</v>
      </c>
      <c r="D22" s="10">
        <f t="shared" si="9"/>
        <v>45904</v>
      </c>
      <c r="E22" s="34">
        <v>48.62</v>
      </c>
      <c r="F22" s="33">
        <f>F21+E22</f>
        <v>193.97000000000003</v>
      </c>
      <c r="J22" s="10">
        <f t="shared" si="0"/>
        <v>45904</v>
      </c>
      <c r="K22">
        <f t="shared" si="1"/>
        <v>2.5</v>
      </c>
      <c r="L22" s="37">
        <f t="shared" si="2"/>
        <v>321.37819999999999</v>
      </c>
      <c r="M22">
        <f t="shared" si="3"/>
        <v>0.76</v>
      </c>
      <c r="N22">
        <f t="shared" si="4"/>
        <v>8.1100000000000005E-2</v>
      </c>
      <c r="O22" t="str">
        <f t="shared" si="5"/>
        <v>1</v>
      </c>
      <c r="P22">
        <f t="shared" si="6"/>
        <v>0</v>
      </c>
      <c r="Q22">
        <f t="shared" si="7"/>
        <v>0.17</v>
      </c>
      <c r="R22" s="37">
        <f t="shared" si="8"/>
        <v>-1294.8253</v>
      </c>
    </row>
    <row r="23" spans="2:18" x14ac:dyDescent="0.3">
      <c r="B23" s="34">
        <v>48.704999999999998</v>
      </c>
      <c r="D23" s="10">
        <f t="shared" si="9"/>
        <v>45905</v>
      </c>
      <c r="E23" s="34">
        <v>48.704999999999998</v>
      </c>
      <c r="F23" s="33">
        <f>F22+E23</f>
        <v>242.67500000000001</v>
      </c>
      <c r="J23" s="10">
        <f t="shared" si="0"/>
        <v>45905</v>
      </c>
      <c r="K23">
        <f t="shared" si="1"/>
        <v>2.5</v>
      </c>
      <c r="L23" s="37">
        <f t="shared" si="2"/>
        <v>321.94009999999997</v>
      </c>
      <c r="M23">
        <f t="shared" si="3"/>
        <v>0.76</v>
      </c>
      <c r="N23">
        <f t="shared" si="4"/>
        <v>8.1200000000000008E-2</v>
      </c>
      <c r="O23" t="str">
        <f t="shared" si="5"/>
        <v>1</v>
      </c>
      <c r="P23">
        <f t="shared" si="6"/>
        <v>0</v>
      </c>
      <c r="Q23">
        <f t="shared" si="7"/>
        <v>0.17</v>
      </c>
      <c r="R23" s="37">
        <f t="shared" si="8"/>
        <v>-1619.9366</v>
      </c>
    </row>
    <row r="24" spans="2:18" x14ac:dyDescent="0.3">
      <c r="B24" s="34">
        <v>48.790999999999997</v>
      </c>
      <c r="D24" s="10">
        <f t="shared" si="9"/>
        <v>45906</v>
      </c>
      <c r="E24" s="34">
        <v>48.790999999999997</v>
      </c>
      <c r="F24" s="33">
        <f>F23+E24</f>
        <v>291.46600000000001</v>
      </c>
      <c r="J24" s="10">
        <f t="shared" si="0"/>
        <v>45906</v>
      </c>
      <c r="K24">
        <f t="shared" si="1"/>
        <v>2.5</v>
      </c>
      <c r="L24" s="37">
        <f t="shared" si="2"/>
        <v>322.5086</v>
      </c>
      <c r="M24">
        <f t="shared" si="3"/>
        <v>0.77</v>
      </c>
      <c r="N24">
        <f t="shared" si="4"/>
        <v>8.14E-2</v>
      </c>
      <c r="O24" t="str">
        <f t="shared" si="5"/>
        <v>1</v>
      </c>
      <c r="P24">
        <f t="shared" si="6"/>
        <v>0</v>
      </c>
      <c r="Q24">
        <f t="shared" si="7"/>
        <v>0.17</v>
      </c>
      <c r="R24" s="37">
        <f t="shared" si="8"/>
        <v>-1945.6266000000001</v>
      </c>
    </row>
    <row r="25" spans="2:18" x14ac:dyDescent="0.3">
      <c r="B25" s="34">
        <v>48.875999999999998</v>
      </c>
      <c r="D25" s="10">
        <f t="shared" si="9"/>
        <v>45907</v>
      </c>
      <c r="E25" s="34">
        <v>48.875999999999998</v>
      </c>
      <c r="F25" s="33">
        <f t="shared" ref="F25:F49" si="10">F24+E25</f>
        <v>340.34199999999998</v>
      </c>
      <c r="J25" s="10">
        <f t="shared" si="0"/>
        <v>45907</v>
      </c>
      <c r="K25">
        <f t="shared" si="1"/>
        <v>2.5</v>
      </c>
      <c r="L25" s="37">
        <f t="shared" si="2"/>
        <v>323.07039999999995</v>
      </c>
      <c r="M25">
        <f t="shared" si="3"/>
        <v>0.77</v>
      </c>
      <c r="N25">
        <f t="shared" si="4"/>
        <v>8.1500000000000003E-2</v>
      </c>
      <c r="O25" t="str">
        <f t="shared" si="5"/>
        <v>2</v>
      </c>
      <c r="P25">
        <f t="shared" si="6"/>
        <v>32.4</v>
      </c>
      <c r="Q25">
        <f t="shared" si="7"/>
        <v>0.17</v>
      </c>
      <c r="R25" s="37">
        <f t="shared" si="8"/>
        <v>-2304.2784999999999</v>
      </c>
    </row>
    <row r="26" spans="2:18" x14ac:dyDescent="0.3">
      <c r="B26" s="34">
        <v>48.953000000000003</v>
      </c>
      <c r="D26" s="10">
        <f t="shared" si="9"/>
        <v>45908</v>
      </c>
      <c r="E26" s="34">
        <v>48.953000000000003</v>
      </c>
      <c r="F26" s="33">
        <f t="shared" si="10"/>
        <v>389.29499999999996</v>
      </c>
      <c r="J26" s="10">
        <f t="shared" si="0"/>
        <v>45908</v>
      </c>
      <c r="K26">
        <f t="shared" si="1"/>
        <v>2.5</v>
      </c>
      <c r="L26" s="37">
        <f t="shared" si="2"/>
        <v>323.57939999999996</v>
      </c>
      <c r="M26">
        <f t="shared" si="3"/>
        <v>0.77</v>
      </c>
      <c r="N26">
        <f t="shared" si="4"/>
        <v>8.1600000000000006E-2</v>
      </c>
      <c r="O26" t="str">
        <f t="shared" si="5"/>
        <v>2</v>
      </c>
      <c r="P26">
        <f t="shared" si="6"/>
        <v>32.449999999999996</v>
      </c>
      <c r="Q26">
        <f t="shared" si="7"/>
        <v>0.17</v>
      </c>
      <c r="R26" s="37">
        <f t="shared" si="8"/>
        <v>-2663.4895000000001</v>
      </c>
    </row>
    <row r="27" spans="2:18" x14ac:dyDescent="0.3">
      <c r="B27" s="34">
        <v>49.031999999999996</v>
      </c>
      <c r="D27" s="10">
        <f t="shared" si="9"/>
        <v>45909</v>
      </c>
      <c r="E27" s="34">
        <v>49.031999999999996</v>
      </c>
      <c r="F27" s="33">
        <f t="shared" si="10"/>
        <v>438.32699999999994</v>
      </c>
      <c r="J27" s="10">
        <f t="shared" si="0"/>
        <v>45909</v>
      </c>
      <c r="K27">
        <f t="shared" si="1"/>
        <v>2.5</v>
      </c>
      <c r="L27" s="37">
        <f t="shared" si="2"/>
        <v>324.10159999999996</v>
      </c>
      <c r="M27">
        <f t="shared" si="3"/>
        <v>0.77</v>
      </c>
      <c r="N27">
        <f t="shared" si="4"/>
        <v>8.1799999999999998E-2</v>
      </c>
      <c r="O27" t="str">
        <f t="shared" si="5"/>
        <v>2</v>
      </c>
      <c r="P27">
        <f t="shared" si="6"/>
        <v>32.5</v>
      </c>
      <c r="Q27">
        <f t="shared" si="7"/>
        <v>0.17</v>
      </c>
      <c r="R27" s="37">
        <f t="shared" si="8"/>
        <v>-3023.2728999999999</v>
      </c>
    </row>
    <row r="28" spans="2:18" x14ac:dyDescent="0.3">
      <c r="B28" s="34">
        <v>49.113</v>
      </c>
      <c r="D28" s="10">
        <f t="shared" si="9"/>
        <v>45910</v>
      </c>
      <c r="E28" s="34">
        <v>49.113</v>
      </c>
      <c r="F28" s="33">
        <f t="shared" si="10"/>
        <v>487.43999999999994</v>
      </c>
      <c r="J28" s="10">
        <f t="shared" si="0"/>
        <v>45910</v>
      </c>
      <c r="K28">
        <f t="shared" si="1"/>
        <v>2.5</v>
      </c>
      <c r="L28" s="37">
        <f t="shared" si="2"/>
        <v>324.637</v>
      </c>
      <c r="M28">
        <f t="shared" si="3"/>
        <v>0.77</v>
      </c>
      <c r="N28">
        <f t="shared" si="4"/>
        <v>8.1900000000000001E-2</v>
      </c>
      <c r="O28" t="str">
        <f t="shared" si="5"/>
        <v>2</v>
      </c>
      <c r="P28">
        <f t="shared" si="6"/>
        <v>32.549999999999997</v>
      </c>
      <c r="Q28">
        <f t="shared" si="7"/>
        <v>0.17</v>
      </c>
      <c r="R28" s="37">
        <f t="shared" si="8"/>
        <v>-3383.6417999999999</v>
      </c>
    </row>
    <row r="29" spans="2:18" x14ac:dyDescent="0.3">
      <c r="B29" s="34">
        <v>49.192</v>
      </c>
      <c r="D29" s="10">
        <f t="shared" si="9"/>
        <v>45911</v>
      </c>
      <c r="E29" s="34">
        <v>49.192</v>
      </c>
      <c r="F29" s="33">
        <f t="shared" si="10"/>
        <v>536.63199999999995</v>
      </c>
      <c r="J29" s="10">
        <f t="shared" si="0"/>
        <v>45911</v>
      </c>
      <c r="K29">
        <f t="shared" si="1"/>
        <v>2.5</v>
      </c>
      <c r="L29" s="37">
        <f t="shared" si="2"/>
        <v>325.1592</v>
      </c>
      <c r="M29">
        <f t="shared" si="3"/>
        <v>0.77</v>
      </c>
      <c r="N29">
        <f t="shared" si="4"/>
        <v>8.2000000000000003E-2</v>
      </c>
      <c r="O29" t="str">
        <f t="shared" si="5"/>
        <v>2</v>
      </c>
      <c r="P29">
        <f t="shared" si="6"/>
        <v>32.61</v>
      </c>
      <c r="Q29">
        <f t="shared" si="7"/>
        <v>0.17</v>
      </c>
      <c r="R29" s="37">
        <f t="shared" si="8"/>
        <v>-3744.5929999999998</v>
      </c>
    </row>
    <row r="30" spans="2:18" x14ac:dyDescent="0.3">
      <c r="B30" s="34">
        <v>49.274999999999999</v>
      </c>
      <c r="D30" s="10">
        <f t="shared" si="9"/>
        <v>45912</v>
      </c>
      <c r="E30" s="34">
        <v>49.274999999999999</v>
      </c>
      <c r="F30" s="33">
        <f t="shared" si="10"/>
        <v>585.90699999999993</v>
      </c>
      <c r="J30" s="10">
        <f t="shared" si="0"/>
        <v>45912</v>
      </c>
      <c r="K30">
        <f t="shared" si="1"/>
        <v>2.5</v>
      </c>
      <c r="L30" s="37">
        <f t="shared" si="2"/>
        <v>325.70779999999996</v>
      </c>
      <c r="M30">
        <f t="shared" si="3"/>
        <v>0.77</v>
      </c>
      <c r="N30">
        <f t="shared" si="4"/>
        <v>8.2200000000000009E-2</v>
      </c>
      <c r="O30" t="str">
        <f t="shared" si="5"/>
        <v>2</v>
      </c>
      <c r="P30">
        <f t="shared" si="6"/>
        <v>32.659999999999997</v>
      </c>
      <c r="Q30">
        <f t="shared" si="7"/>
        <v>0.17</v>
      </c>
      <c r="R30" s="37">
        <f t="shared" si="8"/>
        <v>-4106.143</v>
      </c>
    </row>
    <row r="31" spans="2:18" x14ac:dyDescent="0.3">
      <c r="B31" s="34">
        <v>49.353000000000002</v>
      </c>
      <c r="D31" s="10">
        <f t="shared" si="9"/>
        <v>45913</v>
      </c>
      <c r="E31" s="34">
        <v>49.353000000000002</v>
      </c>
      <c r="F31" s="33">
        <f t="shared" si="10"/>
        <v>635.25999999999988</v>
      </c>
      <c r="G31">
        <v>300</v>
      </c>
      <c r="J31" s="10">
        <f t="shared" si="0"/>
        <v>45913</v>
      </c>
      <c r="K31">
        <f t="shared" si="1"/>
        <v>2.5</v>
      </c>
      <c r="L31" s="37">
        <f t="shared" si="2"/>
        <v>326.22339999999997</v>
      </c>
      <c r="M31">
        <f t="shared" si="3"/>
        <v>0.77</v>
      </c>
      <c r="N31">
        <f t="shared" si="4"/>
        <v>8.2299999999999998E-2</v>
      </c>
      <c r="O31" t="str">
        <f t="shared" si="5"/>
        <v>2</v>
      </c>
      <c r="P31">
        <f t="shared" si="6"/>
        <v>32.71</v>
      </c>
      <c r="Q31">
        <f t="shared" si="7"/>
        <v>0.17</v>
      </c>
      <c r="R31" s="37">
        <f t="shared" si="8"/>
        <v>-4468.2587000000003</v>
      </c>
    </row>
    <row r="32" spans="2:18" x14ac:dyDescent="0.3">
      <c r="B32" s="34">
        <v>49.433999999999997</v>
      </c>
      <c r="D32" s="10">
        <f t="shared" si="9"/>
        <v>45914</v>
      </c>
      <c r="E32" s="34">
        <v>49.433999999999997</v>
      </c>
      <c r="F32" s="33">
        <f t="shared" si="10"/>
        <v>684.69399999999985</v>
      </c>
      <c r="J32" s="10">
        <f t="shared" si="0"/>
        <v>45914</v>
      </c>
      <c r="K32">
        <f t="shared" si="1"/>
        <v>2.5</v>
      </c>
      <c r="L32" s="37">
        <f t="shared" si="2"/>
        <v>326.75879999999995</v>
      </c>
      <c r="M32">
        <f t="shared" si="3"/>
        <v>0.78</v>
      </c>
      <c r="N32">
        <f t="shared" si="4"/>
        <v>8.2400000000000001E-2</v>
      </c>
      <c r="O32" t="str">
        <f t="shared" si="5"/>
        <v>2</v>
      </c>
      <c r="P32">
        <f t="shared" si="6"/>
        <v>32.769999999999996</v>
      </c>
      <c r="Q32">
        <f t="shared" si="7"/>
        <v>0.17</v>
      </c>
      <c r="R32" s="37">
        <f t="shared" si="8"/>
        <v>-4830.9799000000003</v>
      </c>
    </row>
    <row r="33" spans="2:18" x14ac:dyDescent="0.3">
      <c r="B33" s="34">
        <v>49.514000000000003</v>
      </c>
      <c r="D33" s="10">
        <f t="shared" si="9"/>
        <v>45915</v>
      </c>
      <c r="E33" s="34">
        <v>49.514000000000003</v>
      </c>
      <c r="F33" s="33">
        <f t="shared" si="10"/>
        <v>734.20799999999986</v>
      </c>
      <c r="J33" s="10">
        <f t="shared" si="0"/>
        <v>45915</v>
      </c>
      <c r="K33">
        <f t="shared" si="1"/>
        <v>2.5</v>
      </c>
      <c r="L33" s="37">
        <f t="shared" si="2"/>
        <v>327.2876</v>
      </c>
      <c r="M33">
        <f t="shared" si="3"/>
        <v>0.78</v>
      </c>
      <c r="N33">
        <f t="shared" si="4"/>
        <v>8.2600000000000007E-2</v>
      </c>
      <c r="O33" t="str">
        <f t="shared" si="5"/>
        <v>2</v>
      </c>
      <c r="P33">
        <f t="shared" si="6"/>
        <v>32.82</v>
      </c>
      <c r="Q33">
        <f t="shared" si="7"/>
        <v>0.17</v>
      </c>
      <c r="R33" s="37">
        <f t="shared" si="8"/>
        <v>-5194.2800999999999</v>
      </c>
    </row>
    <row r="34" spans="2:18" x14ac:dyDescent="0.3">
      <c r="B34" s="34">
        <v>49.6</v>
      </c>
      <c r="D34" s="10">
        <f t="shared" si="9"/>
        <v>45916</v>
      </c>
      <c r="E34" s="34">
        <v>49.6</v>
      </c>
      <c r="F34" s="33">
        <f t="shared" si="10"/>
        <v>783.80799999999988</v>
      </c>
      <c r="J34" s="10">
        <f t="shared" si="0"/>
        <v>45916</v>
      </c>
      <c r="K34">
        <f t="shared" si="1"/>
        <v>2.5</v>
      </c>
      <c r="L34" s="37">
        <f t="shared" si="2"/>
        <v>327.85599999999999</v>
      </c>
      <c r="M34">
        <f t="shared" si="3"/>
        <v>0.78</v>
      </c>
      <c r="N34">
        <f t="shared" si="4"/>
        <v>8.270000000000001E-2</v>
      </c>
      <c r="O34" t="str">
        <f t="shared" si="5"/>
        <v>2</v>
      </c>
      <c r="P34">
        <f t="shared" si="6"/>
        <v>32.879999999999995</v>
      </c>
      <c r="Q34">
        <f t="shared" si="7"/>
        <v>0.17</v>
      </c>
      <c r="R34" s="37">
        <f t="shared" si="8"/>
        <v>-5558.2088000000003</v>
      </c>
    </row>
    <row r="35" spans="2:18" x14ac:dyDescent="0.3">
      <c r="B35" s="34">
        <v>49.683999999999997</v>
      </c>
      <c r="D35" s="10">
        <f t="shared" si="9"/>
        <v>45917</v>
      </c>
      <c r="E35" s="34">
        <v>49.683999999999997</v>
      </c>
      <c r="F35" s="33">
        <f t="shared" si="10"/>
        <v>833.49199999999985</v>
      </c>
      <c r="J35" s="10">
        <f t="shared" si="0"/>
        <v>45917</v>
      </c>
      <c r="K35">
        <f t="shared" si="1"/>
        <v>2.5</v>
      </c>
      <c r="L35" s="37">
        <f t="shared" si="2"/>
        <v>328.41129999999998</v>
      </c>
      <c r="M35">
        <f t="shared" si="3"/>
        <v>0.78</v>
      </c>
      <c r="N35">
        <f t="shared" si="4"/>
        <v>8.2900000000000001E-2</v>
      </c>
      <c r="O35" t="str">
        <f t="shared" si="5"/>
        <v>2</v>
      </c>
      <c r="P35">
        <f t="shared" si="6"/>
        <v>32.93</v>
      </c>
      <c r="Q35">
        <f t="shared" si="7"/>
        <v>0.17</v>
      </c>
      <c r="R35" s="37">
        <f t="shared" si="8"/>
        <v>-5922.7430000000004</v>
      </c>
    </row>
    <row r="36" spans="2:18" x14ac:dyDescent="0.3">
      <c r="B36" s="34">
        <v>49.773000000000003</v>
      </c>
      <c r="D36" s="10">
        <f t="shared" si="9"/>
        <v>45918</v>
      </c>
      <c r="E36" s="34">
        <v>49.773000000000003</v>
      </c>
      <c r="F36" s="33">
        <f t="shared" si="10"/>
        <v>883.26499999999987</v>
      </c>
      <c r="J36" s="10">
        <f t="shared" si="0"/>
        <v>45918</v>
      </c>
      <c r="K36">
        <f t="shared" si="1"/>
        <v>2.5</v>
      </c>
      <c r="L36" s="37">
        <f t="shared" si="2"/>
        <v>328.99959999999999</v>
      </c>
      <c r="M36">
        <f t="shared" si="3"/>
        <v>0.78</v>
      </c>
      <c r="N36">
        <f t="shared" si="4"/>
        <v>8.3000000000000004E-2</v>
      </c>
      <c r="O36" t="str">
        <f t="shared" si="5"/>
        <v>2</v>
      </c>
      <c r="P36">
        <f t="shared" si="6"/>
        <v>32.989999999999995</v>
      </c>
      <c r="Q36">
        <f t="shared" si="7"/>
        <v>0.17</v>
      </c>
      <c r="R36" s="37">
        <f t="shared" si="8"/>
        <v>-6287.9255999999996</v>
      </c>
    </row>
    <row r="37" spans="2:18" x14ac:dyDescent="0.3">
      <c r="B37" s="34">
        <v>49.862000000000002</v>
      </c>
      <c r="D37" s="10">
        <f t="shared" si="9"/>
        <v>45919</v>
      </c>
      <c r="E37" s="34">
        <v>49.862000000000002</v>
      </c>
      <c r="F37" s="33">
        <f t="shared" si="10"/>
        <v>933.12699999999984</v>
      </c>
      <c r="J37" s="10">
        <f t="shared" si="0"/>
        <v>45919</v>
      </c>
      <c r="K37">
        <f t="shared" si="1"/>
        <v>2.5</v>
      </c>
      <c r="L37" s="37">
        <f t="shared" si="2"/>
        <v>329.58789999999999</v>
      </c>
      <c r="M37">
        <f t="shared" si="3"/>
        <v>0.78</v>
      </c>
      <c r="N37">
        <f t="shared" si="4"/>
        <v>8.3199999999999996E-2</v>
      </c>
      <c r="O37" t="str">
        <f t="shared" si="5"/>
        <v>2</v>
      </c>
      <c r="P37">
        <f t="shared" si="6"/>
        <v>33.049999999999997</v>
      </c>
      <c r="Q37">
        <f t="shared" si="7"/>
        <v>0.17</v>
      </c>
      <c r="R37" s="37">
        <f t="shared" si="8"/>
        <v>-6653.7566999999999</v>
      </c>
    </row>
    <row r="38" spans="2:18" x14ac:dyDescent="0.3">
      <c r="B38" s="34">
        <v>49.948999999999998</v>
      </c>
      <c r="D38" s="10">
        <f t="shared" si="9"/>
        <v>45920</v>
      </c>
      <c r="E38" s="34">
        <v>49.948999999999998</v>
      </c>
      <c r="F38" s="33">
        <f t="shared" si="10"/>
        <v>983.07599999999979</v>
      </c>
      <c r="J38" s="10">
        <f t="shared" si="0"/>
        <v>45920</v>
      </c>
      <c r="K38">
        <f t="shared" si="1"/>
        <v>2.5</v>
      </c>
      <c r="L38" s="37">
        <f t="shared" si="2"/>
        <v>330.16289999999998</v>
      </c>
      <c r="M38">
        <f t="shared" si="3"/>
        <v>0.78</v>
      </c>
      <c r="N38">
        <f t="shared" si="4"/>
        <v>8.3299999999999999E-2</v>
      </c>
      <c r="O38" t="str">
        <f t="shared" si="5"/>
        <v>2</v>
      </c>
      <c r="P38">
        <f t="shared" si="6"/>
        <v>33.11</v>
      </c>
      <c r="Q38">
        <f t="shared" si="7"/>
        <v>0.17</v>
      </c>
      <c r="R38" s="37">
        <f t="shared" si="8"/>
        <v>-7020.2228999999998</v>
      </c>
    </row>
    <row r="39" spans="2:18" x14ac:dyDescent="0.3">
      <c r="B39" s="34">
        <v>50.052999999999997</v>
      </c>
      <c r="D39" s="10">
        <f t="shared" si="9"/>
        <v>45921</v>
      </c>
      <c r="E39" s="34">
        <v>50.052999999999997</v>
      </c>
      <c r="F39" s="33">
        <f t="shared" si="10"/>
        <v>1033.1289999999999</v>
      </c>
      <c r="J39" s="10">
        <f t="shared" si="0"/>
        <v>45921</v>
      </c>
      <c r="K39">
        <f t="shared" si="1"/>
        <v>2.5</v>
      </c>
      <c r="L39" s="37">
        <f t="shared" si="2"/>
        <v>330.85039999999998</v>
      </c>
      <c r="M39">
        <f t="shared" si="3"/>
        <v>0.79</v>
      </c>
      <c r="N39">
        <f t="shared" si="4"/>
        <v>8.3500000000000005E-2</v>
      </c>
      <c r="O39" t="str">
        <f t="shared" si="5"/>
        <v>2</v>
      </c>
      <c r="P39">
        <f t="shared" si="6"/>
        <v>33.18</v>
      </c>
      <c r="Q39">
        <f t="shared" si="7"/>
        <v>0.17</v>
      </c>
      <c r="R39" s="37">
        <f t="shared" si="8"/>
        <v>-7387.4567999999999</v>
      </c>
    </row>
    <row r="40" spans="2:18" x14ac:dyDescent="0.3">
      <c r="B40" s="34">
        <v>50.146000000000001</v>
      </c>
      <c r="D40" s="10">
        <f t="shared" si="9"/>
        <v>45922</v>
      </c>
      <c r="E40" s="34">
        <v>50.146000000000001</v>
      </c>
      <c r="F40" s="33">
        <f t="shared" si="10"/>
        <v>1083.2749999999999</v>
      </c>
      <c r="J40" s="10">
        <f t="shared" si="0"/>
        <v>45922</v>
      </c>
      <c r="K40">
        <f t="shared" si="1"/>
        <v>2.5</v>
      </c>
      <c r="L40" s="37">
        <f t="shared" si="2"/>
        <v>331.46509999999995</v>
      </c>
      <c r="M40">
        <f t="shared" si="3"/>
        <v>0.79</v>
      </c>
      <c r="N40">
        <f t="shared" si="4"/>
        <v>8.3600000000000008E-2</v>
      </c>
      <c r="O40" t="str">
        <f t="shared" si="5"/>
        <v>2</v>
      </c>
      <c r="P40">
        <f t="shared" si="6"/>
        <v>33.239999999999995</v>
      </c>
      <c r="Q40">
        <f t="shared" si="7"/>
        <v>0.17</v>
      </c>
      <c r="R40" s="37">
        <f t="shared" si="8"/>
        <v>-7755.3654999999999</v>
      </c>
    </row>
    <row r="41" spans="2:18" x14ac:dyDescent="0.3">
      <c r="B41" s="34">
        <v>50.234000000000002</v>
      </c>
      <c r="D41" s="10">
        <f t="shared" si="9"/>
        <v>45923</v>
      </c>
      <c r="E41" s="34">
        <v>50.234000000000002</v>
      </c>
      <c r="F41" s="33">
        <f t="shared" si="10"/>
        <v>1133.5089999999998</v>
      </c>
      <c r="J41" s="10">
        <f t="shared" si="0"/>
        <v>45923</v>
      </c>
      <c r="K41">
        <f t="shared" si="1"/>
        <v>2.5</v>
      </c>
      <c r="L41" s="37">
        <f t="shared" si="2"/>
        <v>332.04679999999996</v>
      </c>
      <c r="M41">
        <f t="shared" si="3"/>
        <v>0.79</v>
      </c>
      <c r="N41">
        <f t="shared" si="4"/>
        <v>8.3799999999999999E-2</v>
      </c>
      <c r="O41" t="str">
        <f t="shared" si="5"/>
        <v>2</v>
      </c>
      <c r="P41">
        <f t="shared" si="6"/>
        <v>33.299999999999997</v>
      </c>
      <c r="Q41">
        <f t="shared" si="7"/>
        <v>0.17</v>
      </c>
      <c r="R41" s="37">
        <f t="shared" si="8"/>
        <v>-8123.9161000000004</v>
      </c>
    </row>
    <row r="42" spans="2:18" x14ac:dyDescent="0.3">
      <c r="B42" s="34">
        <v>50.326000000000001</v>
      </c>
      <c r="D42" s="10">
        <f t="shared" si="9"/>
        <v>45924</v>
      </c>
      <c r="E42" s="34">
        <v>50.326000000000001</v>
      </c>
      <c r="F42" s="33">
        <f t="shared" si="10"/>
        <v>1183.8349999999998</v>
      </c>
      <c r="J42" s="10">
        <f t="shared" si="0"/>
        <v>45924</v>
      </c>
      <c r="K42">
        <f t="shared" si="1"/>
        <v>2.5</v>
      </c>
      <c r="L42" s="37">
        <f t="shared" si="2"/>
        <v>332.6549</v>
      </c>
      <c r="M42">
        <f t="shared" si="3"/>
        <v>0.79</v>
      </c>
      <c r="N42">
        <f t="shared" si="4"/>
        <v>8.3900000000000002E-2</v>
      </c>
      <c r="O42" t="str">
        <f t="shared" si="5"/>
        <v>2</v>
      </c>
      <c r="P42">
        <f t="shared" si="6"/>
        <v>33.36</v>
      </c>
      <c r="Q42">
        <f t="shared" si="7"/>
        <v>0.17</v>
      </c>
      <c r="R42" s="37">
        <f t="shared" si="8"/>
        <v>-8493.1348999999991</v>
      </c>
    </row>
    <row r="43" spans="2:18" x14ac:dyDescent="0.3">
      <c r="B43" s="34">
        <v>50.408000000000001</v>
      </c>
      <c r="D43" s="10">
        <f t="shared" si="9"/>
        <v>45925</v>
      </c>
      <c r="E43" s="34">
        <v>50.408000000000001</v>
      </c>
      <c r="F43" s="33">
        <f t="shared" si="10"/>
        <v>1234.2429999999997</v>
      </c>
      <c r="J43" s="10">
        <f t="shared" si="0"/>
        <v>45925</v>
      </c>
      <c r="K43">
        <f t="shared" si="1"/>
        <v>2.5</v>
      </c>
      <c r="L43" s="37">
        <f t="shared" si="2"/>
        <v>333.19689999999997</v>
      </c>
      <c r="M43">
        <f t="shared" si="3"/>
        <v>0.79</v>
      </c>
      <c r="N43">
        <f t="shared" si="4"/>
        <v>8.4100000000000008E-2</v>
      </c>
      <c r="O43" t="str">
        <f t="shared" si="5"/>
        <v>2</v>
      </c>
      <c r="P43">
        <f t="shared" si="6"/>
        <v>33.409999999999997</v>
      </c>
      <c r="Q43">
        <f t="shared" si="7"/>
        <v>0.17</v>
      </c>
      <c r="R43" s="37">
        <f t="shared" si="8"/>
        <v>-8862.9459000000006</v>
      </c>
    </row>
    <row r="44" spans="2:18" x14ac:dyDescent="0.3">
      <c r="B44" s="34">
        <v>50.408000000000001</v>
      </c>
      <c r="D44" s="10">
        <f t="shared" si="9"/>
        <v>45926</v>
      </c>
      <c r="E44" s="34">
        <v>50.408000000000001</v>
      </c>
      <c r="F44" s="33">
        <f t="shared" si="10"/>
        <v>1284.6509999999996</v>
      </c>
      <c r="J44" s="10">
        <f t="shared" si="0"/>
        <v>45926</v>
      </c>
      <c r="K44">
        <f t="shared" si="1"/>
        <v>2.5</v>
      </c>
      <c r="L44" s="37">
        <f t="shared" si="2"/>
        <v>333.19689999999997</v>
      </c>
      <c r="M44">
        <f t="shared" si="3"/>
        <v>0.79</v>
      </c>
      <c r="N44">
        <f t="shared" si="4"/>
        <v>8.4100000000000008E-2</v>
      </c>
      <c r="O44" t="str">
        <f t="shared" si="5"/>
        <v>2</v>
      </c>
      <c r="P44">
        <f t="shared" si="6"/>
        <v>33.409999999999997</v>
      </c>
      <c r="Q44">
        <f t="shared" si="7"/>
        <v>0.17</v>
      </c>
      <c r="R44" s="37">
        <f t="shared" si="8"/>
        <v>-9232.7569000000003</v>
      </c>
    </row>
    <row r="45" spans="2:18" x14ac:dyDescent="0.3">
      <c r="B45" s="34">
        <v>50.482999999999997</v>
      </c>
      <c r="D45" s="10">
        <f t="shared" si="9"/>
        <v>45927</v>
      </c>
      <c r="E45" s="34">
        <v>50.482999999999997</v>
      </c>
      <c r="F45" s="33">
        <f t="shared" si="10"/>
        <v>1335.1339999999996</v>
      </c>
      <c r="J45" s="10">
        <f t="shared" si="0"/>
        <v>45927</v>
      </c>
      <c r="K45">
        <f t="shared" si="1"/>
        <v>2.5</v>
      </c>
      <c r="L45" s="37">
        <f t="shared" si="2"/>
        <v>333.6927</v>
      </c>
      <c r="M45">
        <f t="shared" si="3"/>
        <v>0.79</v>
      </c>
      <c r="N45">
        <f t="shared" si="4"/>
        <v>8.4199999999999997E-2</v>
      </c>
      <c r="O45" t="str">
        <f t="shared" si="5"/>
        <v>2</v>
      </c>
      <c r="P45">
        <f t="shared" si="6"/>
        <v>33.46</v>
      </c>
      <c r="Q45">
        <f t="shared" si="7"/>
        <v>0.17</v>
      </c>
      <c r="R45" s="37">
        <f t="shared" si="8"/>
        <v>-9603.1137999999992</v>
      </c>
    </row>
    <row r="46" spans="2:18" x14ac:dyDescent="0.3">
      <c r="B46" s="34">
        <v>50.570999999999998</v>
      </c>
      <c r="D46" s="10">
        <f t="shared" si="9"/>
        <v>45928</v>
      </c>
      <c r="E46" s="34">
        <v>50.570999999999998</v>
      </c>
      <c r="F46" s="33">
        <f t="shared" si="10"/>
        <v>1385.7049999999995</v>
      </c>
      <c r="J46" s="10">
        <f t="shared" si="0"/>
        <v>45928</v>
      </c>
      <c r="K46">
        <f t="shared" si="1"/>
        <v>2.5</v>
      </c>
      <c r="L46" s="37">
        <f t="shared" si="2"/>
        <v>334.27439999999996</v>
      </c>
      <c r="M46">
        <f t="shared" si="3"/>
        <v>0.79</v>
      </c>
      <c r="N46">
        <f t="shared" si="4"/>
        <v>8.43E-2</v>
      </c>
      <c r="O46" t="str">
        <f t="shared" si="5"/>
        <v>2</v>
      </c>
      <c r="P46">
        <f t="shared" si="6"/>
        <v>33.519999999999996</v>
      </c>
      <c r="Q46">
        <f t="shared" si="7"/>
        <v>0.17</v>
      </c>
      <c r="R46" s="37">
        <f t="shared" si="8"/>
        <v>-9974.1124999999993</v>
      </c>
    </row>
    <row r="47" spans="2:18" x14ac:dyDescent="0.3">
      <c r="B47" s="34">
        <v>50.646999999999998</v>
      </c>
      <c r="D47" s="10">
        <f t="shared" si="9"/>
        <v>45929</v>
      </c>
      <c r="E47" s="34">
        <v>50.646999999999998</v>
      </c>
      <c r="F47" s="33">
        <f t="shared" si="10"/>
        <v>1436.3519999999994</v>
      </c>
      <c r="J47" s="10">
        <f t="shared" si="0"/>
        <v>45929</v>
      </c>
      <c r="K47">
        <f t="shared" si="1"/>
        <v>2.5</v>
      </c>
      <c r="L47" s="37">
        <f t="shared" si="2"/>
        <v>334.77669999999995</v>
      </c>
      <c r="M47">
        <f t="shared" si="3"/>
        <v>0.8</v>
      </c>
      <c r="N47">
        <f t="shared" si="4"/>
        <v>8.4500000000000006E-2</v>
      </c>
      <c r="O47" t="str">
        <f t="shared" si="5"/>
        <v>2</v>
      </c>
      <c r="P47">
        <f t="shared" si="6"/>
        <v>33.57</v>
      </c>
      <c r="Q47">
        <f t="shared" si="7"/>
        <v>0.17</v>
      </c>
      <c r="R47" s="37">
        <f t="shared" si="8"/>
        <v>-10345.673699999999</v>
      </c>
    </row>
    <row r="48" spans="2:18" x14ac:dyDescent="0.3">
      <c r="B48" s="34">
        <v>50.731000000000002</v>
      </c>
      <c r="D48" s="10">
        <f t="shared" si="9"/>
        <v>45930</v>
      </c>
      <c r="E48" s="34">
        <v>50.731000000000002</v>
      </c>
      <c r="F48" s="33">
        <f t="shared" si="10"/>
        <v>1487.0829999999994</v>
      </c>
      <c r="J48" s="10">
        <f t="shared" si="0"/>
        <v>45930</v>
      </c>
      <c r="K48">
        <f t="shared" si="1"/>
        <v>2.5</v>
      </c>
      <c r="L48" s="37">
        <f t="shared" si="2"/>
        <v>335.33199999999999</v>
      </c>
      <c r="M48">
        <f t="shared" si="3"/>
        <v>0.8</v>
      </c>
      <c r="N48">
        <f t="shared" si="4"/>
        <v>8.4600000000000009E-2</v>
      </c>
      <c r="O48" t="str">
        <f t="shared" si="5"/>
        <v>2</v>
      </c>
      <c r="P48">
        <f t="shared" si="6"/>
        <v>33.629999999999995</v>
      </c>
      <c r="Q48">
        <f t="shared" si="7"/>
        <v>0.17</v>
      </c>
      <c r="R48" s="37">
        <f t="shared" si="8"/>
        <v>-10717.8503</v>
      </c>
    </row>
    <row r="49" spans="2:18" x14ac:dyDescent="0.3">
      <c r="B49" s="34">
        <v>51.731000000000002</v>
      </c>
      <c r="D49" s="10">
        <f t="shared" si="9"/>
        <v>45931</v>
      </c>
      <c r="E49" s="34">
        <v>51.731000000000002</v>
      </c>
      <c r="F49" s="33">
        <f t="shared" si="10"/>
        <v>1538.8139999999994</v>
      </c>
      <c r="J49" s="10">
        <f t="shared" si="0"/>
        <v>45931</v>
      </c>
      <c r="K49">
        <f t="shared" si="1"/>
        <v>2.5</v>
      </c>
      <c r="L49" s="37">
        <f t="shared" si="2"/>
        <v>341.94199999999995</v>
      </c>
      <c r="M49">
        <f t="shared" si="3"/>
        <v>0.81</v>
      </c>
      <c r="N49">
        <f t="shared" si="4"/>
        <v>8.6300000000000002E-2</v>
      </c>
      <c r="O49" t="str">
        <f t="shared" si="5"/>
        <v>2</v>
      </c>
      <c r="P49">
        <f t="shared" si="6"/>
        <v>34.29</v>
      </c>
      <c r="Q49">
        <f t="shared" si="7"/>
        <v>0.17</v>
      </c>
      <c r="R49" s="37">
        <f t="shared" si="8"/>
        <v>-11097.3086</v>
      </c>
    </row>
    <row r="52" spans="2:18" x14ac:dyDescent="0.3">
      <c r="J52" s="15" t="s">
        <v>40</v>
      </c>
      <c r="K52">
        <f>SUM(K19:K49)</f>
        <v>77.5</v>
      </c>
    </row>
    <row r="53" spans="2:18" x14ac:dyDescent="0.3">
      <c r="J53" s="15" t="s">
        <v>41</v>
      </c>
      <c r="K53" s="37">
        <f>SUM(L19:L49)</f>
        <v>10171.5622</v>
      </c>
    </row>
    <row r="54" spans="2:18" x14ac:dyDescent="0.3">
      <c r="J54" s="15" t="s">
        <v>42</v>
      </c>
      <c r="K54">
        <f>SUM(M19:M49)</f>
        <v>24.149999999999988</v>
      </c>
    </row>
    <row r="55" spans="2:18" x14ac:dyDescent="0.3">
      <c r="J55" s="15" t="s">
        <v>43</v>
      </c>
      <c r="K55">
        <f>SUM(N19:N49)</f>
        <v>2.5663999999999993</v>
      </c>
    </row>
    <row r="56" spans="2:18" x14ac:dyDescent="0.3">
      <c r="J56" s="15" t="s">
        <v>44</v>
      </c>
      <c r="K56">
        <f>SUM(P19:P49)</f>
        <v>826.8</v>
      </c>
    </row>
    <row r="57" spans="2:18" x14ac:dyDescent="0.3">
      <c r="J57" s="15" t="s">
        <v>45</v>
      </c>
      <c r="K57">
        <v>-808</v>
      </c>
    </row>
    <row r="58" spans="2:18" x14ac:dyDescent="0.3">
      <c r="J58" s="16" t="s">
        <v>46</v>
      </c>
      <c r="K58">
        <f>-SUM(Q19:Q49)</f>
        <v>-5.2699999999999987</v>
      </c>
    </row>
    <row r="59" spans="2:18" x14ac:dyDescent="0.3">
      <c r="J59" s="15" t="s">
        <v>47</v>
      </c>
      <c r="K59">
        <f>SUM(K52:K58)</f>
        <v>10289.308599999998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1d54900b6250314b6ca1928107e1e097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90f563c9498c1415a0ecb9517f538d29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 xsi:nil="true"/>
  </documentManagement>
</p:properties>
</file>

<file path=customXml/itemProps1.xml><?xml version="1.0" encoding="utf-8"?>
<ds:datastoreItem xmlns:ds="http://schemas.openxmlformats.org/officeDocument/2006/customXml" ds:itemID="{0D7A2F52-145A-4BB9-BF6E-A17673AAC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82821-aae6-4082-a5ba-ea6cec871eae"/>
    <ds:schemaRef ds:uri="8ae689fd-2d0a-4368-81dd-a81ec3a4c1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BDEBB-EC5F-4272-9192-54C1651D3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11C695-8CE7-427D-806E-55BDFBC79DD1}">
  <ds:schemaRefs>
    <ds:schemaRef ds:uri="http://schemas.microsoft.com/office/2006/metadata/properties"/>
    <ds:schemaRef ds:uri="http://schemas.microsoft.com/office/infopath/2007/PartnerControls"/>
    <ds:schemaRef ds:uri="f7782821-aae6-4082-a5ba-ea6cec871eae"/>
    <ds:schemaRef ds:uri="8ae689fd-2d0a-4368-81dd-a81ec3a4c1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WB_LT Domestic</vt:lpstr>
      <vt:lpstr>Analyse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Gakhar</dc:creator>
  <cp:keywords/>
  <dc:description/>
  <cp:lastModifiedBy>Sumitbhai Vadaviya</cp:lastModifiedBy>
  <cp:revision/>
  <dcterms:created xsi:type="dcterms:W3CDTF">2025-05-26T11:57:17Z</dcterms:created>
  <dcterms:modified xsi:type="dcterms:W3CDTF">2026-01-13T12:21:16Z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2025-05-27T12:27:29Z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cf94827a-bc3d-4b63-8feb-432960d2d81b</vt:lpwstr>
  </property>
  <property fmtid="{D5CDD505-2E9C-101B-9397-08002B2CF9AE}" pid="7" name="MSIP_Label_defa4170-0d19-0005-0004-bc88714345d2_ActionId">
    <vt:lpwstr>9c0b308f-cae6-409e-84ee-0a4eb7384134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0x010100289DECD7A7FC114684EE8459FBE95C46</vt:lpwstr>
  </property>
  <property fmtid="{D5CDD505-2E9C-101B-9397-08002B2CF9AE}" pid="11" name="MediaServiceImageTags">
    <vt:lpwstr/>
  </property>
</Properties>
</file>