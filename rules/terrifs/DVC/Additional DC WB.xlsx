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cuculusindia-my.sharepoint.com/personal/pradeep_narayana_cuculus_in/Documents/Desktop/Desktop/DVC/WB_Commercial_Tariff_Calculation_Shared by DVC_16Sep25/"/>
    </mc:Choice>
  </mc:AlternateContent>
  <xr:revisionPtr revIDLastSave="41" documentId="13_ncr:1_{CF0D514F-A31B-4DD0-A579-782F828E7910}" xr6:coauthVersionLast="47" xr6:coauthVersionMax="47" xr10:uidLastSave="{F3970EF3-08F9-4861-8D5E-EB96570F0F8B}"/>
  <bookViews>
    <workbookView xWindow="22932" yWindow="-108" windowWidth="30936" windowHeight="16776" xr2:uid="{00000000-000D-0000-FFFF-FFFF00000000}"/>
  </bookViews>
  <sheets>
    <sheet name="TOD" sheetId="2" r:id="rId1"/>
    <sheet name="NON-TOD" sheetId="3" r:id="rId2"/>
    <sheet name="PF Rebate &amp; Surcharge" sheetId="5" state="hidden" r:id="rId3"/>
    <sheet name="Demand Charge" sheetId="8" r:id="rId4"/>
    <sheet name="LF Rebate &amp; Surcharge" sheetId="9"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2" l="1"/>
  <c r="C12" i="3" l="1"/>
  <c r="D19" i="8"/>
  <c r="C31" i="2"/>
  <c r="C27" i="2"/>
  <c r="C10" i="3"/>
  <c r="C12" i="2" l="1"/>
  <c r="C14" i="2"/>
  <c r="C18" i="2"/>
  <c r="C20" i="2"/>
  <c r="C22" i="2"/>
  <c r="C17" i="2"/>
  <c r="C16" i="2" s="1"/>
  <c r="C25" i="2" s="1"/>
  <c r="C41" i="2" l="1"/>
</calcChain>
</file>

<file path=xl/sharedStrings.xml><?xml version="1.0" encoding="utf-8"?>
<sst xmlns="http://schemas.openxmlformats.org/spreadsheetml/2006/main" count="93" uniqueCount="84">
  <si>
    <t>Additional demand Charge Calculation as per WBERC regulation 2011</t>
  </si>
  <si>
    <t>DC (Demand Charge) :</t>
  </si>
  <si>
    <t xml:space="preserve">Dcont (Sanctioned Contract Demand of the consumer) : </t>
  </si>
  <si>
    <t>CASE 3: (ANY ONE OF BELOW)</t>
  </si>
  <si>
    <t>HIGHEST OF CASE 1, CASE 2 &amp; CASE 3</t>
  </si>
  <si>
    <r>
      <t>Dact</t>
    </r>
    <r>
      <rPr>
        <vertAlign val="subscript"/>
        <sz val="11"/>
        <color theme="1"/>
        <rFont val="Calibri"/>
        <family val="2"/>
        <scheme val="minor"/>
      </rPr>
      <t>P</t>
    </r>
    <r>
      <rPr>
        <sz val="11"/>
        <color theme="1"/>
        <rFont val="Calibri"/>
        <family val="2"/>
        <scheme val="minor"/>
      </rPr>
      <t xml:space="preserve">  (Actual highest demand of power during peak period) :</t>
    </r>
  </si>
  <si>
    <r>
      <t>Dact</t>
    </r>
    <r>
      <rPr>
        <vertAlign val="subscript"/>
        <sz val="11"/>
        <color theme="1"/>
        <rFont val="Calibri"/>
        <family val="2"/>
        <scheme val="minor"/>
      </rPr>
      <t>OP</t>
    </r>
    <r>
      <rPr>
        <sz val="11"/>
        <color theme="1"/>
        <rFont val="Calibri"/>
        <family val="2"/>
        <scheme val="minor"/>
      </rPr>
      <t>(Actual highest demand of power during off-peak period) :</t>
    </r>
  </si>
  <si>
    <r>
      <t>Dact</t>
    </r>
    <r>
      <rPr>
        <vertAlign val="subscript"/>
        <sz val="11"/>
        <color theme="1"/>
        <rFont val="Calibri"/>
        <family val="2"/>
        <scheme val="minor"/>
      </rPr>
      <t>N</t>
    </r>
    <r>
      <rPr>
        <sz val="11"/>
        <color theme="1"/>
        <rFont val="Calibri"/>
        <family val="2"/>
        <scheme val="minor"/>
      </rPr>
      <t xml:space="preserve"> (Actual highest Demand of power in Normal time period) :</t>
    </r>
  </si>
  <si>
    <r>
      <t>CASE 2 : highest demand during peak period exceeds the contract demand
ADCED = 0.5 × (Dact</t>
    </r>
    <r>
      <rPr>
        <vertAlign val="subscript"/>
        <sz val="11"/>
        <color theme="1"/>
        <rFont val="Calibri"/>
        <family val="2"/>
        <scheme val="minor"/>
      </rPr>
      <t>P</t>
    </r>
    <r>
      <rPr>
        <sz val="11"/>
        <color theme="1"/>
        <rFont val="Calibri"/>
        <family val="2"/>
        <scheme val="minor"/>
      </rPr>
      <t xml:space="preserve">  – Dcont) x DC</t>
    </r>
  </si>
  <si>
    <r>
      <t>CASE 1  highest demand during normal period exceeds the contract demand
(ADCED = 0.2 × (Dact</t>
    </r>
    <r>
      <rPr>
        <vertAlign val="subscript"/>
        <sz val="11"/>
        <color theme="1"/>
        <rFont val="Calibri"/>
        <family val="2"/>
        <scheme val="minor"/>
      </rPr>
      <t>N</t>
    </r>
    <r>
      <rPr>
        <sz val="11"/>
        <color theme="1"/>
        <rFont val="Calibri"/>
        <family val="2"/>
        <scheme val="minor"/>
      </rPr>
      <t xml:space="preserve"> – Dcont) × DC ):</t>
    </r>
  </si>
  <si>
    <r>
      <t>Dact</t>
    </r>
    <r>
      <rPr>
        <vertAlign val="subscript"/>
        <sz val="11"/>
        <color theme="1"/>
        <rFont val="Calibri"/>
        <family val="2"/>
        <scheme val="minor"/>
      </rPr>
      <t>OP</t>
    </r>
    <r>
      <rPr>
        <sz val="11"/>
        <color theme="1"/>
        <rFont val="Calibri"/>
        <family val="2"/>
        <scheme val="minor"/>
      </rPr>
      <t>/Dcont</t>
    </r>
  </si>
  <si>
    <r>
      <t>A)When Dact</t>
    </r>
    <r>
      <rPr>
        <vertAlign val="subscript"/>
        <sz val="11"/>
        <color theme="1"/>
        <rFont val="Calibri"/>
        <family val="2"/>
        <scheme val="minor"/>
      </rPr>
      <t>OP</t>
    </r>
    <r>
      <rPr>
        <sz val="11"/>
        <color theme="1"/>
        <rFont val="Calibri"/>
        <family val="2"/>
        <scheme val="minor"/>
      </rPr>
      <t>&gt;Dcont and Dact</t>
    </r>
    <r>
      <rPr>
        <vertAlign val="subscript"/>
        <sz val="11"/>
        <color theme="1"/>
        <rFont val="Calibri"/>
        <family val="2"/>
        <scheme val="minor"/>
      </rPr>
      <t>OP</t>
    </r>
    <r>
      <rPr>
        <sz val="11"/>
        <color theme="1"/>
        <rFont val="Aptos Narrow"/>
        <family val="2"/>
      </rPr>
      <t>≤</t>
    </r>
    <r>
      <rPr>
        <sz val="11"/>
        <color theme="1"/>
        <rFont val="Calibri"/>
        <family val="2"/>
        <scheme val="minor"/>
      </rPr>
      <t xml:space="preserve"> 1.3 × Dcont
ADCED = 0.01 × (Dact</t>
    </r>
    <r>
      <rPr>
        <vertAlign val="subscript"/>
        <sz val="11"/>
        <color theme="1"/>
        <rFont val="Calibri"/>
        <family val="2"/>
        <scheme val="minor"/>
      </rPr>
      <t>OP</t>
    </r>
    <r>
      <rPr>
        <sz val="11"/>
        <color theme="1"/>
        <rFont val="Calibri"/>
        <family val="2"/>
        <scheme val="minor"/>
      </rPr>
      <t xml:space="preserve"> – Dcont) × DC</t>
    </r>
  </si>
  <si>
    <r>
      <t>B) When Dact</t>
    </r>
    <r>
      <rPr>
        <vertAlign val="subscript"/>
        <sz val="11"/>
        <color theme="1"/>
        <rFont val="Calibri"/>
        <family val="2"/>
        <scheme val="minor"/>
      </rPr>
      <t>OP</t>
    </r>
    <r>
      <rPr>
        <sz val="11"/>
        <color theme="1"/>
        <rFont val="Calibri"/>
        <family val="2"/>
        <scheme val="minor"/>
      </rPr>
      <t xml:space="preserve"> &gt; 1.3 × Dcont and Dact</t>
    </r>
    <r>
      <rPr>
        <vertAlign val="subscript"/>
        <sz val="11"/>
        <color theme="1"/>
        <rFont val="Calibri"/>
        <family val="2"/>
        <scheme val="minor"/>
      </rPr>
      <t>OP</t>
    </r>
    <r>
      <rPr>
        <sz val="11"/>
        <color theme="1"/>
        <rFont val="Calibri"/>
        <family val="2"/>
        <scheme val="minor"/>
      </rPr>
      <t xml:space="preserve"> ≤ 1.5 × Dcont
ADCED = [0.01 × 0.3 x Dcont + 0.1 × (Dact</t>
    </r>
    <r>
      <rPr>
        <vertAlign val="subscript"/>
        <sz val="11"/>
        <color theme="1"/>
        <rFont val="Calibri"/>
        <family val="2"/>
        <scheme val="minor"/>
      </rPr>
      <t>OP</t>
    </r>
    <r>
      <rPr>
        <sz val="11"/>
        <color theme="1"/>
        <rFont val="Calibri"/>
        <family val="2"/>
        <scheme val="minor"/>
      </rPr>
      <t xml:space="preserve"> – 1.3 × Dcont)] × DC</t>
    </r>
  </si>
  <si>
    <r>
      <t>C) When Dact</t>
    </r>
    <r>
      <rPr>
        <vertAlign val="subscript"/>
        <sz val="11"/>
        <color theme="1"/>
        <rFont val="Calibri"/>
        <family val="2"/>
        <scheme val="minor"/>
      </rPr>
      <t>OP</t>
    </r>
    <r>
      <rPr>
        <sz val="11"/>
        <color theme="1"/>
        <rFont val="Calibri"/>
        <family val="2"/>
        <scheme val="minor"/>
      </rPr>
      <t xml:space="preserve"> &gt; 1.5 × Dcont
ADCED = [0.01 × 0.3 x Dcont + 0.1 x 0.2 × Dcont + 0.2 × (Dact</t>
    </r>
    <r>
      <rPr>
        <vertAlign val="subscript"/>
        <sz val="11"/>
        <color theme="1"/>
        <rFont val="Calibri"/>
        <family val="2"/>
        <scheme val="minor"/>
      </rPr>
      <t>OP</t>
    </r>
    <r>
      <rPr>
        <sz val="11"/>
        <color theme="1"/>
        <rFont val="Calibri"/>
        <family val="2"/>
        <scheme val="minor"/>
      </rPr>
      <t>–1.5 × Dcont)] × DC</t>
    </r>
  </si>
  <si>
    <t>MD</t>
  </si>
  <si>
    <r>
      <t>Applicable rate of demand charge for a consumer.DC</t>
    </r>
    <r>
      <rPr>
        <vertAlign val="subscript"/>
        <sz val="11"/>
        <color theme="1"/>
        <rFont val="Calibri"/>
        <family val="2"/>
        <scheme val="minor"/>
      </rPr>
      <t>A</t>
    </r>
    <r>
      <rPr>
        <sz val="11"/>
        <color theme="1"/>
        <rFont val="Calibri"/>
        <family val="2"/>
        <scheme val="minor"/>
      </rPr>
      <t xml:space="preserve"> =</t>
    </r>
  </si>
  <si>
    <t>DC</t>
  </si>
  <si>
    <t>where</t>
  </si>
  <si>
    <t>DC=Computed Demand Charge applicable to a consumer for billing period</t>
  </si>
  <si>
    <r>
      <t>DC</t>
    </r>
    <r>
      <rPr>
        <vertAlign val="subscript"/>
        <sz val="11"/>
        <color theme="1"/>
        <rFont val="Calibri"/>
        <family val="2"/>
        <scheme val="minor"/>
      </rPr>
      <t>A</t>
    </r>
    <r>
      <rPr>
        <sz val="11"/>
        <color theme="1"/>
        <rFont val="Calibri"/>
        <family val="2"/>
        <scheme val="minor"/>
      </rPr>
      <t>= Applicable rate of Demand charge for a consumer</t>
    </r>
  </si>
  <si>
    <t>H = Total hours in the billing period</t>
  </si>
  <si>
    <t xml:space="preserve">Hi = The duration involved for the incidence of interruption / total shed/partial restriction in supplying power to the consumer which is not to be </t>
  </si>
  <si>
    <t>MD = Maximum Demand considered for levying demand charge as per regulation 4.3.5</t>
  </si>
  <si>
    <t>Rdi = restricted load imposed on the consumer corresponding to the ith incidence or actual drawal during the period of such restrictions whichever is higher.</t>
  </si>
  <si>
    <r>
      <t>Multiplying factor=DC/(MD X DC</t>
    </r>
    <r>
      <rPr>
        <b/>
        <vertAlign val="subscript"/>
        <sz val="11"/>
        <color theme="1"/>
        <rFont val="Calibri"/>
        <family val="2"/>
        <scheme val="minor"/>
      </rPr>
      <t>A</t>
    </r>
    <r>
      <rPr>
        <b/>
        <sz val="11"/>
        <color theme="1"/>
        <rFont val="Calibri"/>
        <family val="2"/>
        <scheme val="minor"/>
      </rPr>
      <t>)</t>
    </r>
  </si>
  <si>
    <t>Therefore Net additional demand Charge payable to consumer Sumangal Ispat Pvt Ltd(Cons. ID: 44285) for the Month of June, 2024</t>
  </si>
  <si>
    <t>If the highest demand of any non-TOD consumer recorded in a month exceeds his contract demand, he shall be liable to pay demand charge at the applicable rate for that non-TOD consumer in question. In addition, he will be also liable to pay an additional demand charge at the rate of 60% of the demand charge for the additional demand being the difference between the recorded highest demand and his contract demand. Excess energy drawal corresponding to the aforesaid excess demand shall be billed at the rate of energy charge applicable for such consumer</t>
  </si>
  <si>
    <t>Dact  (Actual highest demand of power  period) :</t>
  </si>
  <si>
    <t>Additional demand Charge</t>
  </si>
  <si>
    <t>Power Factor Rebate &amp; Surcharge on Energy Charge in Percentage</t>
  </si>
  <si>
    <t>For Consumers under TOD Tariff</t>
  </si>
  <si>
    <t>For Consumers under non-TOD Tariff</t>
  </si>
  <si>
    <t>Normal Period</t>
  </si>
  <si>
    <t>Peak Period</t>
  </si>
  <si>
    <t>Rebate in %</t>
  </si>
  <si>
    <t>Surcharge in %</t>
  </si>
  <si>
    <t xml:space="preserve">PF &gt; 99% </t>
  </si>
  <si>
    <t xml:space="preserve">PF &gt; 98% &amp; PF &lt; 99% </t>
  </si>
  <si>
    <t xml:space="preserve">PF &gt; 97% &amp; PF &lt; 98% </t>
  </si>
  <si>
    <t xml:space="preserve">PF &gt; 96% &amp; PF &lt; 97% </t>
  </si>
  <si>
    <t xml:space="preserve">PF &gt; 95% &amp; PF &lt; 96% </t>
  </si>
  <si>
    <t xml:space="preserve">PF &gt; 94% &amp; PF &lt; 95% </t>
  </si>
  <si>
    <t xml:space="preserve">PF &gt; 93% &amp; PF &lt; 94% </t>
  </si>
  <si>
    <t xml:space="preserve">PF &gt; 92% &amp; PF &lt; 93% </t>
  </si>
  <si>
    <t xml:space="preserve">PF &gt; 86% &amp; PF &lt; 92% </t>
  </si>
  <si>
    <t xml:space="preserve">PF &gt; 85% &amp; PF &lt; 86% </t>
  </si>
  <si>
    <t xml:space="preserve">PF &gt; 84% &amp; PF &lt; 85% </t>
  </si>
  <si>
    <t xml:space="preserve">PF &gt; 83% &amp; PF &lt; 84% </t>
  </si>
  <si>
    <t xml:space="preserve">PF &gt; 82% &amp; PF &lt; 83% </t>
  </si>
  <si>
    <t xml:space="preserve">PF &gt; 81% &amp; PF &lt; 82% </t>
  </si>
  <si>
    <t xml:space="preserve">PF &gt; 80% &amp; PF &lt; 81% </t>
  </si>
  <si>
    <t xml:space="preserve">PF &lt; 80% </t>
  </si>
  <si>
    <t>Off-peak period</t>
  </si>
  <si>
    <t>power Factor (PF) Range in %</t>
  </si>
  <si>
    <t xml:space="preserve">As per Tariff Order of DVC for the year 2016 – 2017 (Page No: 14) </t>
  </si>
  <si>
    <t>Where</t>
  </si>
  <si>
    <t>(H – ΣHi) × MD + Σ(Hi × RDi)</t>
  </si>
  <si>
    <t>H</t>
  </si>
  <si>
    <t>DC = Computed Demand Charge applicable to a consumer for billing period</t>
  </si>
  <si>
    <t>DCA = Applicable rate of demand charge for a consumer.</t>
  </si>
  <si>
    <t>H = Total hours in the billing period.</t>
  </si>
  <si>
    <t>Hi = The duration involved for ith incidence of interruption / total shed / partial restriction</t>
  </si>
  <si>
    <t>in supplying power to the consumer which is not to be considered as per this</t>
  </si>
  <si>
    <t>regulation.</t>
  </si>
  <si>
    <t>MD = Maximum Demand considered for levying demand charge as per regulation 4.3.5.</t>
  </si>
  <si>
    <t>RDi = Restricted load imposed on the consumer corresponding to ith incidence or actual</t>
  </si>
  <si>
    <t>drawal during the period of such restriction whichever is higher.</t>
  </si>
  <si>
    <t>Demand Charge=</t>
  </si>
  <si>
    <t>DCA</t>
  </si>
  <si>
    <r>
      <t>DC=DC</t>
    </r>
    <r>
      <rPr>
        <b/>
        <vertAlign val="subscript"/>
        <sz val="11"/>
        <color theme="1"/>
        <rFont val="Calibri"/>
        <family val="2"/>
        <scheme val="minor"/>
      </rPr>
      <t>A</t>
    </r>
    <r>
      <rPr>
        <b/>
        <sz val="11"/>
        <color theme="1"/>
        <rFont val="Calibri"/>
        <family val="2"/>
        <scheme val="minor"/>
      </rPr>
      <t xml:space="preserve"> x {(H-</t>
    </r>
    <r>
      <rPr>
        <b/>
        <sz val="11"/>
        <color theme="1"/>
        <rFont val="Calibri"/>
        <family val="2"/>
      </rPr>
      <t>∑Hi) X MD + ∑(Hi x Rdi)}/H</t>
    </r>
  </si>
  <si>
    <t>The above load factor rebate shall be applicable on quantum of energy consumed in the billing period. (For example a 33 kV industrial consumer at 85% load factor shall be eligible for a rebate @ 8 paise / kWh on the total quantum of energy consumed in the billing period).</t>
  </si>
  <si>
    <t xml:space="preserve">3.4.1.2 </t>
  </si>
  <si>
    <t>Tariff Order of DVC for the year 2016 – 2017</t>
  </si>
  <si>
    <t xml:space="preserve"> Load factor surcharge shall be levied on HV industrial and HV commercial consumers if the load factor falls below 30%. The surcharge for the load factor less than 30% but equal to or above 25% shall be 5 paise / kWh for the amount of energy by which consumption falls short of energy corresponding to a load factor of 30%. The surcharge for the load factor below 25% shall be 10 paise / kWh and shall be applicable only for the amount of energy by which the West Bengal Electricity Regulatory Commission 12
consumption falls short of energy corresponding to a load factor of 25% but not less than the amount of surcharge that would have been payable for load factor at 25% computed @ 5 paise / kWh. (For example, a HV industrial or commercial consumer at 28% load factor shall be liable to pay surcharge @ 5 paise / kWh on the quantum of energy to be consumed at 30% load factor minus total energy consumed in the billing period. Similarly, a HV industrial or commercial consumer at 24% load factor shall be liable to pay surcharge @ 10 paise / kWh on the quantum of energy to be consumed at 25% load factor minus total energy consumed in the billing period but not less than the amount of surcharge that would have been payable for load factor at 25% computed @ 5 paise / kWh).</t>
  </si>
  <si>
    <t>3.4.1.3</t>
  </si>
  <si>
    <t>Additional Demand charge calculation for Non-TOD consumer (As Per WBERC regulation 2011)</t>
  </si>
  <si>
    <t>Consumer No: 490342, Billing Month: September 2024</t>
  </si>
  <si>
    <t xml:space="preserve">Sample Calculation of Additional Demand Charge in west Bengal for consumer (TOD) </t>
  </si>
  <si>
    <t>WBERC-2011 Page No-60</t>
  </si>
  <si>
    <t>TOU2</t>
  </si>
  <si>
    <t>TOU3</t>
  </si>
  <si>
    <t>TOU1</t>
  </si>
  <si>
    <t>ΣHi (Total restriction/load-shedding hours):</t>
  </si>
  <si>
    <t>H (Total hours in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</si>
</sst>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1"/>
      <color theme="1"/>
      <name val="Calibri"/>
      <family val="2"/>
      <scheme val="minor"/>
    </font>
    <font>
      <sz val="11"/>
      <color theme="1"/>
      <name val="Aptos Narrow"/>
      <family val="2"/>
    </font>
    <font>
      <vertAlign val="subscript"/>
      <sz val="11"/>
      <color theme="1"/>
      <name val="Calibri"/>
      <family val="2"/>
      <scheme val="minor"/>
    </font>
    <font>
      <b/>
      <sz val="11"/>
      <color theme="1"/>
      <name val="Calibri"/>
      <family val="2"/>
      <scheme val="minor"/>
    </font>
    <font>
      <b/>
      <vertAlign val="subscript"/>
      <sz val="11"/>
      <color theme="1"/>
      <name val="Calibri"/>
      <family val="2"/>
      <scheme val="minor"/>
    </font>
    <font>
      <b/>
      <sz val="14"/>
      <color theme="1"/>
      <name val="Calibri"/>
      <family val="2"/>
      <scheme val="minor"/>
    </font>
    <font>
      <b/>
      <sz val="12"/>
      <color theme="1"/>
      <name val="Calibri"/>
      <family val="2"/>
      <scheme val="minor"/>
    </font>
    <font>
      <sz val="11"/>
      <color rgb="FF000000"/>
      <name val="Arial Narrow"/>
      <family val="2"/>
    </font>
    <font>
      <b/>
      <sz val="11"/>
      <color rgb="FF000000"/>
      <name val="Arial Narrow"/>
      <family val="2"/>
    </font>
    <font>
      <u/>
      <sz val="11"/>
      <color theme="1"/>
      <name val="Calibri"/>
      <family val="2"/>
      <scheme val="minor"/>
    </font>
    <font>
      <b/>
      <sz val="11"/>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1" xfId="0" applyBorder="1"/>
    <xf numFmtId="0" fontId="0" fillId="0" borderId="1" xfId="0" applyBorder="1" applyAlignment="1">
      <alignment wrapText="1"/>
    </xf>
    <xf numFmtId="2" fontId="0" fillId="0" borderId="1" xfId="0" applyNumberFormat="1" applyBorder="1"/>
    <xf numFmtId="0" fontId="0" fillId="0" borderId="1" xfId="0" applyBorder="1" applyAlignment="1">
      <alignment vertical="top" wrapText="1"/>
    </xf>
    <xf numFmtId="0" fontId="3" fillId="0" borderId="1" xfId="0" applyFont="1" applyBorder="1"/>
    <xf numFmtId="0" fontId="3" fillId="0" borderId="1" xfId="0" applyFont="1" applyBorder="1" applyAlignment="1">
      <alignment wrapText="1"/>
    </xf>
    <xf numFmtId="0" fontId="3" fillId="0" borderId="1" xfId="0" applyFont="1" applyBorder="1" applyAlignment="1">
      <alignment horizontal="center" vertical="center"/>
    </xf>
    <xf numFmtId="0" fontId="5" fillId="0" borderId="0" xfId="0" applyFont="1"/>
    <xf numFmtId="0" fontId="5" fillId="0" borderId="1" xfId="0" applyFont="1" applyBorder="1"/>
    <xf numFmtId="0" fontId="0" fillId="0" borderId="0" xfId="0" applyAlignment="1">
      <alignment wrapText="1"/>
    </xf>
    <xf numFmtId="0" fontId="0" fillId="0" borderId="1" xfId="0" applyBorder="1" applyAlignment="1">
      <alignment horizontal="center"/>
    </xf>
    <xf numFmtId="0" fontId="3" fillId="0" borderId="0" xfId="0" applyFont="1"/>
    <xf numFmtId="0" fontId="6" fillId="0" borderId="0" xfId="0" applyFont="1"/>
    <xf numFmtId="2" fontId="3" fillId="0" borderId="1" xfId="0" applyNumberFormat="1" applyFont="1" applyBorder="1" applyAlignment="1">
      <alignment horizontal="center"/>
    </xf>
    <xf numFmtId="2" fontId="0" fillId="0" borderId="1" xfId="0" applyNumberFormat="1" applyBorder="1" applyAlignment="1">
      <alignment horizontal="center"/>
    </xf>
    <xf numFmtId="0" fontId="0" fillId="0" borderId="1" xfId="0" applyBorder="1" applyAlignment="1">
      <alignment horizontal="center" wrapText="1"/>
    </xf>
    <xf numFmtId="0" fontId="7" fillId="0" borderId="1" xfId="0" applyFont="1" applyBorder="1" applyAlignment="1">
      <alignment vertical="center" wrapText="1"/>
    </xf>
    <xf numFmtId="0" fontId="8" fillId="0" borderId="1" xfId="0" applyFont="1" applyBorder="1" applyAlignment="1">
      <alignment vertical="center" wrapText="1"/>
    </xf>
    <xf numFmtId="0" fontId="0" fillId="0" borderId="0" xfId="0" applyAlignment="1">
      <alignment horizontal="center"/>
    </xf>
    <xf numFmtId="0" fontId="0" fillId="0" borderId="0" xfId="0" applyAlignment="1">
      <alignment vertical="top"/>
    </xf>
    <xf numFmtId="0" fontId="0" fillId="0" borderId="0" xfId="0" applyAlignment="1">
      <alignment horizontal="left" vertical="top" wrapText="1"/>
    </xf>
    <xf numFmtId="0" fontId="0" fillId="0" borderId="1" xfId="0" applyBorder="1" applyAlignment="1">
      <alignment horizontal="center" vertical="center" wrapText="1"/>
    </xf>
    <xf numFmtId="0" fontId="3" fillId="0" borderId="0" xfId="0" applyFont="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9" fillId="0" borderId="0" xfId="0" applyFont="1" applyAlignment="1">
      <alignment horizontal="center"/>
    </xf>
    <xf numFmtId="16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FA447-C4A6-44BD-85E3-C98198EFD20D}">
  <dimension ref="A1:E41"/>
  <sheetViews>
    <sheetView tabSelected="1" topLeftCell="A3" zoomScale="89" workbookViewId="0">
      <selection activeCell="C18" sqref="C18"/>
    </sheetView>
  </sheetViews>
  <sheetFormatPr defaultRowHeight="15" x14ac:dyDescent="0.25"/>
  <cols>
    <col min="2" max="2" width="73.5703125" customWidth="1"/>
    <col min="3" max="3" width="10.42578125" bestFit="1" customWidth="1"/>
    <col min="4" max="5" width="16.5703125" customWidth="1"/>
  </cols>
  <sheetData>
    <row r="1" spans="1:5" ht="18.75" x14ac:dyDescent="0.3">
      <c r="B1" s="8" t="s">
        <v>77</v>
      </c>
    </row>
    <row r="2" spans="1:5" ht="18.75" x14ac:dyDescent="0.3">
      <c r="B2" s="8"/>
    </row>
    <row r="3" spans="1:5" ht="18.75" x14ac:dyDescent="0.3">
      <c r="B3" s="9" t="s">
        <v>0</v>
      </c>
      <c r="C3" s="1"/>
    </row>
    <row r="4" spans="1:5" x14ac:dyDescent="0.25">
      <c r="B4" s="1" t="s">
        <v>2</v>
      </c>
      <c r="C4" s="1">
        <v>6800</v>
      </c>
      <c r="E4" s="19"/>
    </row>
    <row r="5" spans="1:5" x14ac:dyDescent="0.25">
      <c r="B5" s="1" t="s">
        <v>1</v>
      </c>
      <c r="C5" s="1">
        <v>384</v>
      </c>
      <c r="E5" s="19"/>
    </row>
    <row r="6" spans="1:5" ht="18" x14ac:dyDescent="0.35">
      <c r="A6" t="s">
        <v>79</v>
      </c>
      <c r="B6" s="1" t="s">
        <v>5</v>
      </c>
      <c r="C6" s="1">
        <v>9146</v>
      </c>
    </row>
    <row r="7" spans="1:5" ht="18" x14ac:dyDescent="0.35">
      <c r="A7" t="s">
        <v>80</v>
      </c>
      <c r="B7" s="1" t="s">
        <v>6</v>
      </c>
      <c r="C7" s="1">
        <v>9174</v>
      </c>
    </row>
    <row r="8" spans="1:5" ht="18" x14ac:dyDescent="0.35">
      <c r="A8" t="s">
        <v>81</v>
      </c>
      <c r="B8" s="1" t="s">
        <v>7</v>
      </c>
      <c r="C8" s="1">
        <v>9202</v>
      </c>
    </row>
    <row r="9" spans="1:5" x14ac:dyDescent="0.25">
      <c r="B9" s="1" t="s">
        <v>83</v>
      </c>
      <c r="C9" s="1">
        <v>720</v>
      </c>
    </row>
    <row r="10" spans="1:5" x14ac:dyDescent="0.25">
      <c r="B10" s="1" t="s">
        <v>82</v>
      </c>
      <c r="C10" s="1">
        <v>1.28</v>
      </c>
    </row>
    <row r="11" spans="1:5" x14ac:dyDescent="0.25">
      <c r="B11" s="1"/>
      <c r="C11" s="1"/>
    </row>
    <row r="12" spans="1:5" ht="33" x14ac:dyDescent="0.35">
      <c r="B12" s="2" t="s">
        <v>9</v>
      </c>
      <c r="C12" s="3">
        <f>0.2*(C8-C4)*C5</f>
        <v>184473.60000000001</v>
      </c>
      <c r="D12" s="3"/>
      <c r="E12" s="3"/>
    </row>
    <row r="13" spans="1:5" x14ac:dyDescent="0.25">
      <c r="B13" s="1"/>
      <c r="C13" s="1"/>
    </row>
    <row r="14" spans="1:5" ht="33" x14ac:dyDescent="0.35">
      <c r="B14" s="2" t="s">
        <v>8</v>
      </c>
      <c r="C14" s="3">
        <f>0.5*(C6-C4)*C5</f>
        <v>450432</v>
      </c>
      <c r="D14" s="3"/>
      <c r="E14" s="3"/>
    </row>
    <row r="15" spans="1:5" x14ac:dyDescent="0.25">
      <c r="B15" s="1"/>
      <c r="C15" s="1"/>
    </row>
    <row r="16" spans="1:5" x14ac:dyDescent="0.25">
      <c r="B16" s="1" t="s">
        <v>3</v>
      </c>
      <c r="C16" s="27">
        <f>IF(C17&gt;=1,IF(AND((C7&gt;C4),(C7&lt;=1.3*C4)),0.01*(C7-C4)*C5,IF(AND((C7&gt;1.3*C4),(C7&lt;=1.5*C4)),(0.01*0.3*C4+0.1*(C7-1.3*C4))*C5,(0.01*0.3*C4+0.1*0.2*C4+0.2*(C7-1.5*C4))*C5)),0)</f>
        <v>20659.199999999997</v>
      </c>
      <c r="D16" s="1"/>
      <c r="E16" s="1"/>
    </row>
    <row r="17" spans="2:5" ht="18" x14ac:dyDescent="0.35">
      <c r="B17" s="1" t="s">
        <v>10</v>
      </c>
      <c r="C17" s="1">
        <f>C7/C4</f>
        <v>1.3491176470588235</v>
      </c>
      <c r="D17" s="1"/>
      <c r="E17" s="1"/>
    </row>
    <row r="18" spans="2:5" ht="36" x14ac:dyDescent="0.35">
      <c r="B18" s="2" t="s">
        <v>11</v>
      </c>
      <c r="C18" s="1">
        <f>IF(AND((C7&gt;C4),(C7&lt;=1.3*C4)),0.01*(C7-C4)*C5,0)</f>
        <v>0</v>
      </c>
      <c r="D18" s="1"/>
      <c r="E18" s="1"/>
    </row>
    <row r="19" spans="2:5" x14ac:dyDescent="0.25">
      <c r="B19" s="1"/>
      <c r="C19" s="1"/>
    </row>
    <row r="20" spans="2:5" ht="36" x14ac:dyDescent="0.35">
      <c r="B20" s="2" t="s">
        <v>12</v>
      </c>
      <c r="C20" s="1">
        <f>IF(AND((C7&gt;1.3*C4),(C7&lt;=1.5*C4)),(0.01*0.3*C4+0.1*(C7-1.3*C4))*C5,0)</f>
        <v>20659.199999999997</v>
      </c>
      <c r="D20" s="1"/>
      <c r="E20" s="1"/>
    </row>
    <row r="21" spans="2:5" x14ac:dyDescent="0.25">
      <c r="B21" s="1"/>
      <c r="C21" s="1"/>
    </row>
    <row r="22" spans="2:5" ht="36" x14ac:dyDescent="0.35">
      <c r="B22" s="2" t="s">
        <v>13</v>
      </c>
      <c r="C22" s="1">
        <f>IF((0.01*0.3*C4+0.1*0.2*C4+0.2*(C7-1.5*C4))*C5&gt;0,(0.01*0.3*C4+0.1*0.2*C4+0.2*(C7-1.5*C4))*C5,0)</f>
        <v>0</v>
      </c>
      <c r="D22" s="1"/>
      <c r="E22" s="1"/>
    </row>
    <row r="23" spans="2:5" x14ac:dyDescent="0.25">
      <c r="B23" s="1"/>
      <c r="C23" s="1"/>
    </row>
    <row r="24" spans="2:5" x14ac:dyDescent="0.25">
      <c r="B24" s="1"/>
      <c r="C24" s="1"/>
    </row>
    <row r="25" spans="2:5" x14ac:dyDescent="0.25">
      <c r="B25" s="1" t="s">
        <v>4</v>
      </c>
      <c r="C25" s="3">
        <f>MAX(C12,C14,C16)</f>
        <v>450432</v>
      </c>
      <c r="D25" s="3"/>
      <c r="E25" s="3"/>
    </row>
    <row r="26" spans="2:5" x14ac:dyDescent="0.25">
      <c r="B26" s="1"/>
      <c r="C26" s="1"/>
    </row>
    <row r="27" spans="2:5" x14ac:dyDescent="0.25">
      <c r="B27" s="1" t="s">
        <v>14</v>
      </c>
      <c r="C27" s="1">
        <f>MAX(C6,C7,C8)</f>
        <v>9202</v>
      </c>
    </row>
    <row r="28" spans="2:5" x14ac:dyDescent="0.25">
      <c r="B28" s="1" t="s">
        <v>16</v>
      </c>
      <c r="C28" s="1">
        <v>384</v>
      </c>
    </row>
    <row r="29" spans="2:5" ht="18" x14ac:dyDescent="0.35">
      <c r="B29" s="1" t="s">
        <v>15</v>
      </c>
      <c r="C29" s="1"/>
    </row>
    <row r="30" spans="2:5" x14ac:dyDescent="0.25">
      <c r="B30" s="1"/>
      <c r="C30" s="1"/>
    </row>
    <row r="31" spans="2:5" ht="18" x14ac:dyDescent="0.35">
      <c r="B31" s="5" t="s">
        <v>69</v>
      </c>
      <c r="C31" s="1">
        <f>C5*((C9-C10)*C27)/C9</f>
        <v>3527286.1013333332</v>
      </c>
      <c r="D31" s="1"/>
      <c r="E31" s="1"/>
    </row>
    <row r="32" spans="2:5" x14ac:dyDescent="0.25">
      <c r="B32" s="1" t="s">
        <v>17</v>
      </c>
      <c r="C32" s="1"/>
    </row>
    <row r="33" spans="2:5" x14ac:dyDescent="0.25">
      <c r="B33" s="1" t="s">
        <v>18</v>
      </c>
      <c r="C33" s="1"/>
    </row>
    <row r="34" spans="2:5" ht="18" x14ac:dyDescent="0.35">
      <c r="B34" s="1" t="s">
        <v>19</v>
      </c>
      <c r="C34" s="1"/>
    </row>
    <row r="35" spans="2:5" x14ac:dyDescent="0.25">
      <c r="B35" s="1" t="s">
        <v>20</v>
      </c>
      <c r="C35" s="1"/>
    </row>
    <row r="36" spans="2:5" ht="30" x14ac:dyDescent="0.25">
      <c r="B36" s="4" t="s">
        <v>21</v>
      </c>
      <c r="C36" s="1"/>
    </row>
    <row r="37" spans="2:5" ht="30" x14ac:dyDescent="0.25">
      <c r="B37" s="2" t="s">
        <v>22</v>
      </c>
      <c r="C37" s="1"/>
    </row>
    <row r="38" spans="2:5" ht="45" x14ac:dyDescent="0.25">
      <c r="B38" s="2" t="s">
        <v>23</v>
      </c>
      <c r="C38" s="1"/>
    </row>
    <row r="39" spans="2:5" ht="18" x14ac:dyDescent="0.35">
      <c r="B39" s="5" t="s">
        <v>24</v>
      </c>
      <c r="C39" s="1">
        <f>C31/(C27*C5)</f>
        <v>0.99822222222222223</v>
      </c>
      <c r="D39" s="1"/>
      <c r="E39" s="1"/>
    </row>
    <row r="40" spans="2:5" x14ac:dyDescent="0.25">
      <c r="B40" s="1"/>
      <c r="C40" s="1"/>
    </row>
    <row r="41" spans="2:5" ht="30" x14ac:dyDescent="0.25">
      <c r="B41" s="6" t="s">
        <v>25</v>
      </c>
      <c r="C41" s="7">
        <f>C25*C39</f>
        <v>449631.23200000002</v>
      </c>
      <c r="D41" s="7"/>
      <c r="E4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8CE31-4423-4836-8095-800B0597E1CA}">
  <dimension ref="B1:D12"/>
  <sheetViews>
    <sheetView topLeftCell="A2" workbookViewId="0">
      <selection activeCell="C13" sqref="C13"/>
    </sheetView>
  </sheetViews>
  <sheetFormatPr defaultRowHeight="15" x14ac:dyDescent="0.25"/>
  <cols>
    <col min="2" max="2" width="61.5703125" customWidth="1"/>
    <col min="3" max="3" width="15.5703125" customWidth="1"/>
  </cols>
  <sheetData>
    <row r="1" spans="2:4" ht="15.75" x14ac:dyDescent="0.25">
      <c r="B1" s="13" t="s">
        <v>75</v>
      </c>
    </row>
    <row r="2" spans="2:4" ht="127.5" customHeight="1" x14ac:dyDescent="0.25">
      <c r="B2" s="21" t="s">
        <v>26</v>
      </c>
      <c r="C2" s="21"/>
      <c r="D2" s="21"/>
    </row>
    <row r="3" spans="2:4" x14ac:dyDescent="0.25">
      <c r="B3" s="10"/>
    </row>
    <row r="4" spans="2:4" x14ac:dyDescent="0.25">
      <c r="B4" s="12" t="s">
        <v>0</v>
      </c>
    </row>
    <row r="5" spans="2:4" x14ac:dyDescent="0.25">
      <c r="B5" t="s">
        <v>76</v>
      </c>
    </row>
    <row r="6" spans="2:4" x14ac:dyDescent="0.25">
      <c r="B6" s="1" t="s">
        <v>2</v>
      </c>
      <c r="C6" s="11">
        <v>2000</v>
      </c>
    </row>
    <row r="7" spans="2:4" x14ac:dyDescent="0.25">
      <c r="B7" s="1" t="s">
        <v>1</v>
      </c>
      <c r="C7" s="11">
        <v>384</v>
      </c>
    </row>
    <row r="8" spans="2:4" x14ac:dyDescent="0.25">
      <c r="B8" s="1" t="s">
        <v>27</v>
      </c>
      <c r="C8" s="11">
        <v>2082</v>
      </c>
    </row>
    <row r="9" spans="2:4" x14ac:dyDescent="0.25">
      <c r="B9" s="1"/>
      <c r="C9" s="1"/>
    </row>
    <row r="10" spans="2:4" x14ac:dyDescent="0.25">
      <c r="B10" s="1" t="s">
        <v>28</v>
      </c>
      <c r="C10" s="11">
        <f>0.6*(C8-C6)*C7</f>
        <v>18892.8</v>
      </c>
    </row>
    <row r="12" spans="2:4" x14ac:dyDescent="0.25">
      <c r="C12">
        <f>0.6*5*30</f>
        <v>90</v>
      </c>
    </row>
  </sheetData>
  <mergeCells count="1">
    <mergeCell ref="B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DF8CF-3D37-4EA1-8DC6-504AE84A228A}">
  <dimension ref="B1:L22"/>
  <sheetViews>
    <sheetView topLeftCell="B1" workbookViewId="0">
      <selection activeCell="I13" sqref="I13"/>
    </sheetView>
  </sheetViews>
  <sheetFormatPr defaultRowHeight="15" x14ac:dyDescent="0.25"/>
  <cols>
    <col min="2" max="2" width="7" customWidth="1"/>
    <col min="3" max="3" width="22" customWidth="1"/>
    <col min="5" max="5" width="12.42578125" customWidth="1"/>
    <col min="7" max="7" width="10.5703125" customWidth="1"/>
    <col min="9" max="9" width="10.85546875" customWidth="1"/>
    <col min="10" max="10" width="10" customWidth="1"/>
    <col min="11" max="11" width="11.85546875" customWidth="1"/>
  </cols>
  <sheetData>
    <row r="1" spans="2:12" ht="15.75" x14ac:dyDescent="0.25">
      <c r="B1" s="13" t="s">
        <v>54</v>
      </c>
    </row>
    <row r="2" spans="2:12" ht="15.75" x14ac:dyDescent="0.25">
      <c r="B2" s="13"/>
    </row>
    <row r="3" spans="2:12" x14ac:dyDescent="0.25">
      <c r="D3" s="23" t="s">
        <v>29</v>
      </c>
      <c r="E3" s="23"/>
      <c r="F3" s="23"/>
      <c r="G3" s="23"/>
      <c r="H3" s="23"/>
      <c r="I3" s="23"/>
      <c r="J3" s="23"/>
    </row>
    <row r="4" spans="2:12" x14ac:dyDescent="0.25">
      <c r="C4" s="22" t="s">
        <v>53</v>
      </c>
      <c r="D4" s="24" t="s">
        <v>30</v>
      </c>
      <c r="E4" s="24"/>
      <c r="F4" s="24"/>
      <c r="G4" s="24"/>
      <c r="H4" s="24"/>
      <c r="I4" s="24"/>
      <c r="J4" s="25" t="s">
        <v>31</v>
      </c>
      <c r="K4" s="25"/>
    </row>
    <row r="5" spans="2:12" x14ac:dyDescent="0.25">
      <c r="C5" s="22"/>
      <c r="D5" s="24" t="s">
        <v>32</v>
      </c>
      <c r="E5" s="24"/>
      <c r="F5" s="24" t="s">
        <v>33</v>
      </c>
      <c r="G5" s="24"/>
      <c r="H5" s="24" t="s">
        <v>52</v>
      </c>
      <c r="I5" s="24"/>
      <c r="J5" s="25"/>
      <c r="K5" s="25"/>
    </row>
    <row r="6" spans="2:12" ht="30" x14ac:dyDescent="0.25">
      <c r="C6" s="22"/>
      <c r="D6" s="16" t="s">
        <v>34</v>
      </c>
      <c r="E6" s="16" t="s">
        <v>35</v>
      </c>
      <c r="F6" s="16" t="s">
        <v>34</v>
      </c>
      <c r="G6" s="16" t="s">
        <v>35</v>
      </c>
      <c r="H6" s="16" t="s">
        <v>34</v>
      </c>
      <c r="I6" s="16" t="s">
        <v>35</v>
      </c>
      <c r="J6" s="16" t="s">
        <v>34</v>
      </c>
      <c r="K6" s="16" t="s">
        <v>35</v>
      </c>
    </row>
    <row r="7" spans="2:12" ht="16.5" x14ac:dyDescent="0.25">
      <c r="C7" s="17" t="s">
        <v>36</v>
      </c>
      <c r="D7" s="15">
        <v>8</v>
      </c>
      <c r="E7" s="15">
        <v>0</v>
      </c>
      <c r="F7" s="15">
        <v>9</v>
      </c>
      <c r="G7" s="15">
        <v>0</v>
      </c>
      <c r="H7" s="15">
        <v>7</v>
      </c>
      <c r="I7" s="15">
        <v>0</v>
      </c>
      <c r="J7" s="15">
        <v>5</v>
      </c>
      <c r="K7" s="15">
        <v>0</v>
      </c>
    </row>
    <row r="8" spans="2:12" ht="16.5" x14ac:dyDescent="0.25">
      <c r="C8" s="17" t="s">
        <v>37</v>
      </c>
      <c r="D8" s="15">
        <v>7</v>
      </c>
      <c r="E8" s="15">
        <v>0</v>
      </c>
      <c r="F8" s="15">
        <v>8</v>
      </c>
      <c r="G8" s="15">
        <v>0</v>
      </c>
      <c r="H8" s="15">
        <v>6</v>
      </c>
      <c r="I8" s="15">
        <v>0</v>
      </c>
      <c r="J8" s="15">
        <v>4</v>
      </c>
      <c r="K8" s="15">
        <v>0</v>
      </c>
    </row>
    <row r="9" spans="2:12" ht="16.5" customHeight="1" x14ac:dyDescent="0.25">
      <c r="C9" s="17" t="s">
        <v>38</v>
      </c>
      <c r="D9" s="15">
        <v>4</v>
      </c>
      <c r="E9" s="15">
        <v>0</v>
      </c>
      <c r="F9" s="15">
        <v>6</v>
      </c>
      <c r="G9" s="15">
        <v>0</v>
      </c>
      <c r="H9" s="15">
        <v>4</v>
      </c>
      <c r="I9" s="15">
        <v>0</v>
      </c>
      <c r="J9" s="15">
        <v>3</v>
      </c>
      <c r="K9" s="15">
        <v>0</v>
      </c>
      <c r="L9" s="10"/>
    </row>
    <row r="10" spans="2:12" ht="16.5" x14ac:dyDescent="0.25">
      <c r="C10" s="17" t="s">
        <v>39</v>
      </c>
      <c r="D10" s="15">
        <v>3</v>
      </c>
      <c r="E10" s="15">
        <v>0</v>
      </c>
      <c r="F10" s="15">
        <v>5</v>
      </c>
      <c r="G10" s="15">
        <v>0</v>
      </c>
      <c r="H10" s="15">
        <v>3</v>
      </c>
      <c r="I10" s="15">
        <v>0</v>
      </c>
      <c r="J10" s="15">
        <v>2.5</v>
      </c>
      <c r="K10" s="15">
        <v>0</v>
      </c>
    </row>
    <row r="11" spans="2:12" ht="16.5" x14ac:dyDescent="0.25">
      <c r="C11" s="17" t="s">
        <v>40</v>
      </c>
      <c r="D11" s="15">
        <v>2.25</v>
      </c>
      <c r="E11" s="15">
        <v>0</v>
      </c>
      <c r="F11" s="15">
        <v>4</v>
      </c>
      <c r="G11" s="15">
        <v>0</v>
      </c>
      <c r="H11" s="15">
        <v>2</v>
      </c>
      <c r="I11" s="15">
        <v>0</v>
      </c>
      <c r="J11" s="15">
        <v>2</v>
      </c>
      <c r="K11" s="15">
        <v>0</v>
      </c>
    </row>
    <row r="12" spans="2:12" ht="16.5" x14ac:dyDescent="0.25">
      <c r="C12" s="17" t="s">
        <v>41</v>
      </c>
      <c r="D12" s="15">
        <v>2.25</v>
      </c>
      <c r="E12" s="15">
        <v>0</v>
      </c>
      <c r="F12" s="15">
        <v>3</v>
      </c>
      <c r="G12" s="15">
        <v>0</v>
      </c>
      <c r="H12" s="15">
        <v>1.5</v>
      </c>
      <c r="I12" s="15">
        <v>0</v>
      </c>
      <c r="J12" s="15">
        <v>1.5</v>
      </c>
      <c r="K12" s="15">
        <v>0</v>
      </c>
    </row>
    <row r="13" spans="2:12" ht="16.5" x14ac:dyDescent="0.25">
      <c r="C13" s="17" t="s">
        <v>42</v>
      </c>
      <c r="D13" s="15">
        <v>1.5</v>
      </c>
      <c r="E13" s="15">
        <v>0</v>
      </c>
      <c r="F13" s="15">
        <v>2</v>
      </c>
      <c r="G13" s="15">
        <v>0</v>
      </c>
      <c r="H13" s="15">
        <v>1</v>
      </c>
      <c r="I13" s="15">
        <v>0</v>
      </c>
      <c r="J13" s="15">
        <v>1</v>
      </c>
      <c r="K13" s="15">
        <v>0</v>
      </c>
    </row>
    <row r="14" spans="2:12" ht="16.5" x14ac:dyDescent="0.25">
      <c r="C14" s="17" t="s">
        <v>43</v>
      </c>
      <c r="D14" s="15">
        <v>0.75</v>
      </c>
      <c r="E14" s="15">
        <v>0</v>
      </c>
      <c r="F14" s="15">
        <v>1</v>
      </c>
      <c r="G14" s="15">
        <v>0</v>
      </c>
      <c r="H14" s="15">
        <v>0.5</v>
      </c>
      <c r="I14" s="15">
        <v>0</v>
      </c>
      <c r="J14" s="15">
        <v>0.5</v>
      </c>
      <c r="K14" s="15">
        <v>0</v>
      </c>
    </row>
    <row r="15" spans="2:12" s="12" customFormat="1" ht="16.5" x14ac:dyDescent="0.25">
      <c r="C15" s="18" t="s">
        <v>44</v>
      </c>
      <c r="D15" s="14">
        <v>0</v>
      </c>
      <c r="E15" s="14">
        <v>0</v>
      </c>
      <c r="F15" s="14">
        <v>0</v>
      </c>
      <c r="G15" s="14">
        <v>0</v>
      </c>
      <c r="H15" s="14">
        <v>0</v>
      </c>
      <c r="I15" s="14">
        <v>0</v>
      </c>
      <c r="J15" s="14">
        <v>0</v>
      </c>
      <c r="K15" s="14">
        <v>0</v>
      </c>
    </row>
    <row r="16" spans="2:12" ht="16.5" x14ac:dyDescent="0.25">
      <c r="C16" s="17" t="s">
        <v>45</v>
      </c>
      <c r="D16" s="15">
        <v>0</v>
      </c>
      <c r="E16" s="15">
        <v>0.75</v>
      </c>
      <c r="F16" s="15">
        <v>0</v>
      </c>
      <c r="G16" s="15">
        <v>1</v>
      </c>
      <c r="H16" s="15">
        <v>0</v>
      </c>
      <c r="I16" s="15">
        <v>0.5</v>
      </c>
      <c r="J16" s="15">
        <v>0</v>
      </c>
      <c r="K16" s="15">
        <v>0.5</v>
      </c>
    </row>
    <row r="17" spans="3:11" ht="16.5" x14ac:dyDescent="0.25">
      <c r="C17" s="17" t="s">
        <v>46</v>
      </c>
      <c r="D17" s="15">
        <v>0</v>
      </c>
      <c r="E17" s="15">
        <v>1.5</v>
      </c>
      <c r="F17" s="15">
        <v>0</v>
      </c>
      <c r="G17" s="15">
        <v>2</v>
      </c>
      <c r="H17" s="15">
        <v>0</v>
      </c>
      <c r="I17" s="15">
        <v>1</v>
      </c>
      <c r="J17" s="15">
        <v>0</v>
      </c>
      <c r="K17" s="15">
        <v>1</v>
      </c>
    </row>
    <row r="18" spans="3:11" ht="16.5" x14ac:dyDescent="0.25">
      <c r="C18" s="17" t="s">
        <v>47</v>
      </c>
      <c r="D18" s="15">
        <v>0</v>
      </c>
      <c r="E18" s="15">
        <v>2.25</v>
      </c>
      <c r="F18" s="15">
        <v>0</v>
      </c>
      <c r="G18" s="15">
        <v>3</v>
      </c>
      <c r="H18" s="15">
        <v>0</v>
      </c>
      <c r="I18" s="15">
        <v>1.5</v>
      </c>
      <c r="J18" s="15">
        <v>0</v>
      </c>
      <c r="K18" s="15">
        <v>1.5</v>
      </c>
    </row>
    <row r="19" spans="3:11" ht="16.5" x14ac:dyDescent="0.25">
      <c r="C19" s="17" t="s">
        <v>48</v>
      </c>
      <c r="D19" s="15">
        <v>0</v>
      </c>
      <c r="E19" s="15">
        <v>3</v>
      </c>
      <c r="F19" s="15">
        <v>0</v>
      </c>
      <c r="G19" s="15">
        <v>4</v>
      </c>
      <c r="H19" s="15">
        <v>0</v>
      </c>
      <c r="I19" s="15">
        <v>2</v>
      </c>
      <c r="J19" s="15">
        <v>0</v>
      </c>
      <c r="K19" s="15">
        <v>2</v>
      </c>
    </row>
    <row r="20" spans="3:11" ht="16.5" x14ac:dyDescent="0.25">
      <c r="C20" s="17" t="s">
        <v>49</v>
      </c>
      <c r="D20" s="15">
        <v>0</v>
      </c>
      <c r="E20" s="15">
        <v>4</v>
      </c>
      <c r="F20" s="15">
        <v>0</v>
      </c>
      <c r="G20" s="15">
        <v>5</v>
      </c>
      <c r="H20" s="15">
        <v>0</v>
      </c>
      <c r="I20" s="15">
        <v>3</v>
      </c>
      <c r="J20" s="15">
        <v>0</v>
      </c>
      <c r="K20" s="15">
        <v>2.5</v>
      </c>
    </row>
    <row r="21" spans="3:11" ht="16.5" x14ac:dyDescent="0.25">
      <c r="C21" s="17" t="s">
        <v>50</v>
      </c>
      <c r="D21" s="15">
        <v>0</v>
      </c>
      <c r="E21" s="15">
        <v>5</v>
      </c>
      <c r="F21" s="15">
        <v>0</v>
      </c>
      <c r="G21" s="15">
        <v>6</v>
      </c>
      <c r="H21" s="15">
        <v>0</v>
      </c>
      <c r="I21" s="15">
        <v>4</v>
      </c>
      <c r="J21" s="15">
        <v>0</v>
      </c>
      <c r="K21" s="15">
        <v>3</v>
      </c>
    </row>
    <row r="22" spans="3:11" ht="16.5" x14ac:dyDescent="0.25">
      <c r="C22" s="17" t="s">
        <v>51</v>
      </c>
      <c r="D22" s="15">
        <v>0</v>
      </c>
      <c r="E22" s="15">
        <v>6</v>
      </c>
      <c r="F22" s="15">
        <v>0</v>
      </c>
      <c r="G22" s="15">
        <v>7</v>
      </c>
      <c r="H22" s="15">
        <v>0</v>
      </c>
      <c r="I22" s="15">
        <v>5</v>
      </c>
      <c r="J22" s="15">
        <v>0</v>
      </c>
      <c r="K22" s="15">
        <v>3.5</v>
      </c>
    </row>
  </sheetData>
  <mergeCells count="7">
    <mergeCell ref="C4:C6"/>
    <mergeCell ref="D3:J3"/>
    <mergeCell ref="D5:E5"/>
    <mergeCell ref="F5:G5"/>
    <mergeCell ref="H5:I5"/>
    <mergeCell ref="D4:I4"/>
    <mergeCell ref="J4:K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023E5-622A-4ED1-B93A-E5F22E323728}">
  <dimension ref="A1:E19"/>
  <sheetViews>
    <sheetView workbookViewId="0">
      <selection activeCell="F21" sqref="F21"/>
    </sheetView>
  </sheetViews>
  <sheetFormatPr defaultRowHeight="15" x14ac:dyDescent="0.25"/>
  <cols>
    <col min="1" max="1" width="17.7109375" customWidth="1"/>
    <col min="4" max="4" width="15.140625" customWidth="1"/>
  </cols>
  <sheetData>
    <row r="1" spans="1:5" x14ac:dyDescent="0.25">
      <c r="A1" t="s">
        <v>78</v>
      </c>
    </row>
    <row r="3" spans="1:5" x14ac:dyDescent="0.25">
      <c r="A3" t="s">
        <v>67</v>
      </c>
      <c r="B3" t="s">
        <v>68</v>
      </c>
      <c r="C3" s="26" t="s">
        <v>56</v>
      </c>
      <c r="D3" s="26"/>
      <c r="E3" s="26"/>
    </row>
    <row r="4" spans="1:5" x14ac:dyDescent="0.25">
      <c r="D4" s="19" t="s">
        <v>57</v>
      </c>
    </row>
    <row r="6" spans="1:5" x14ac:dyDescent="0.25">
      <c r="C6" t="s">
        <v>55</v>
      </c>
    </row>
    <row r="7" spans="1:5" x14ac:dyDescent="0.25">
      <c r="C7" t="s">
        <v>58</v>
      </c>
    </row>
    <row r="8" spans="1:5" x14ac:dyDescent="0.25">
      <c r="C8" t="s">
        <v>59</v>
      </c>
    </row>
    <row r="9" spans="1:5" x14ac:dyDescent="0.25">
      <c r="C9" t="s">
        <v>60</v>
      </c>
    </row>
    <row r="10" spans="1:5" x14ac:dyDescent="0.25">
      <c r="C10" t="s">
        <v>61</v>
      </c>
    </row>
    <row r="11" spans="1:5" x14ac:dyDescent="0.25">
      <c r="C11" t="s">
        <v>62</v>
      </c>
    </row>
    <row r="12" spans="1:5" x14ac:dyDescent="0.25">
      <c r="C12" t="s">
        <v>63</v>
      </c>
    </row>
    <row r="13" spans="1:5" x14ac:dyDescent="0.25">
      <c r="C13" t="s">
        <v>64</v>
      </c>
    </row>
    <row r="14" spans="1:5" x14ac:dyDescent="0.25">
      <c r="C14" t="s">
        <v>65</v>
      </c>
    </row>
    <row r="15" spans="1:5" x14ac:dyDescent="0.25">
      <c r="C15" t="s">
        <v>66</v>
      </c>
    </row>
    <row r="18" spans="3:4" x14ac:dyDescent="0.25">
      <c r="C18" s="19"/>
    </row>
    <row r="19" spans="3:4" x14ac:dyDescent="0.25">
      <c r="C19" s="19"/>
      <c r="D19">
        <f>((5000*0.85)*(744-0.25))*384/744</f>
        <v>1631451.6129032257</v>
      </c>
    </row>
  </sheetData>
  <mergeCells count="1">
    <mergeCell ref="C3:E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818C-CB6C-4040-B6A1-D3A7B8E42FF4}">
  <dimension ref="A3:N11"/>
  <sheetViews>
    <sheetView workbookViewId="0">
      <selection activeCell="I20" sqref="I20"/>
    </sheetView>
  </sheetViews>
  <sheetFormatPr defaultRowHeight="15" x14ac:dyDescent="0.25"/>
  <sheetData>
    <row r="3" spans="1:14" x14ac:dyDescent="0.25">
      <c r="B3" t="s">
        <v>72</v>
      </c>
    </row>
    <row r="6" spans="1:14" ht="30.75" customHeight="1" x14ac:dyDescent="0.25">
      <c r="A6" s="20" t="s">
        <v>71</v>
      </c>
      <c r="B6" s="21" t="s">
        <v>70</v>
      </c>
      <c r="C6" s="21"/>
      <c r="D6" s="21"/>
      <c r="E6" s="21"/>
      <c r="F6" s="21"/>
      <c r="G6" s="21"/>
      <c r="H6" s="21"/>
      <c r="I6" s="21"/>
      <c r="J6" s="21"/>
      <c r="K6" s="21"/>
      <c r="L6" s="21"/>
      <c r="M6" s="21"/>
      <c r="N6" s="21"/>
    </row>
    <row r="7" spans="1:14" ht="20.25" customHeight="1" x14ac:dyDescent="0.25">
      <c r="B7" s="21"/>
      <c r="C7" s="21"/>
      <c r="D7" s="21"/>
      <c r="E7" s="21"/>
      <c r="F7" s="21"/>
      <c r="G7" s="21"/>
      <c r="H7" s="21"/>
      <c r="I7" s="21"/>
      <c r="J7" s="21"/>
      <c r="K7" s="21"/>
      <c r="L7" s="21"/>
      <c r="M7" s="21"/>
      <c r="N7" s="21"/>
    </row>
    <row r="9" spans="1:14" ht="63.75" customHeight="1" x14ac:dyDescent="0.25">
      <c r="A9" s="20" t="s">
        <v>74</v>
      </c>
      <c r="B9" s="21" t="s">
        <v>73</v>
      </c>
      <c r="C9" s="21"/>
      <c r="D9" s="21"/>
      <c r="E9" s="21"/>
      <c r="F9" s="21"/>
      <c r="G9" s="21"/>
      <c r="H9" s="21"/>
      <c r="I9" s="21"/>
      <c r="J9" s="21"/>
      <c r="K9" s="21"/>
      <c r="L9" s="21"/>
      <c r="M9" s="21"/>
      <c r="N9" s="21"/>
    </row>
    <row r="10" spans="1:14" ht="99" customHeight="1" x14ac:dyDescent="0.25">
      <c r="B10" s="21"/>
      <c r="C10" s="21"/>
      <c r="D10" s="21"/>
      <c r="E10" s="21"/>
      <c r="F10" s="21"/>
      <c r="G10" s="21"/>
      <c r="H10" s="21"/>
      <c r="I10" s="21"/>
      <c r="J10" s="21"/>
      <c r="K10" s="21"/>
      <c r="L10" s="21"/>
      <c r="M10" s="21"/>
      <c r="N10" s="21"/>
    </row>
    <row r="11" spans="1:14" ht="34.5" customHeight="1" x14ac:dyDescent="0.25"/>
  </sheetData>
  <mergeCells count="2">
    <mergeCell ref="B6:N7"/>
    <mergeCell ref="B9:N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9DECD7A7FC114684EE8459FBE95C46" ma:contentTypeVersion="11" ma:contentTypeDescription="Create a new document." ma:contentTypeScope="" ma:versionID="776c1a9b8017fb1e73b668c459c6f790">
  <xsd:schema xmlns:xsd="http://www.w3.org/2001/XMLSchema" xmlns:xs="http://www.w3.org/2001/XMLSchema" xmlns:p="http://schemas.microsoft.com/office/2006/metadata/properties" xmlns:ns2="f7782821-aae6-4082-a5ba-ea6cec871eae" xmlns:ns3="8ae689fd-2d0a-4368-81dd-a81ec3a4c1cb" targetNamespace="http://schemas.microsoft.com/office/2006/metadata/properties" ma:root="true" ma:fieldsID="4a13cc5e89aea9ba1bceef8789766c0a" ns2:_="" ns3:_="">
    <xsd:import namespace="f7782821-aae6-4082-a5ba-ea6cec871eae"/>
    <xsd:import namespace="8ae689fd-2d0a-4368-81dd-a81ec3a4c1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82821-aae6-4082-a5ba-ea6cec871e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e41db77-5a46-4ec8-9a67-3b6920aaaae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ae689fd-2d0a-4368-81dd-a81ec3a4c1c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eb29526-4ec3-4ba7-bac6-f0b9b5f4f976}" ma:internalName="TaxCatchAll" ma:showField="CatchAllData" ma:web="8ae689fd-2d0a-4368-81dd-a81ec3a4c1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7782821-aae6-4082-a5ba-ea6cec871eae">
      <Terms xmlns="http://schemas.microsoft.com/office/infopath/2007/PartnerControls"/>
    </lcf76f155ced4ddcb4097134ff3c332f>
    <TaxCatchAll xmlns="8ae689fd-2d0a-4368-81dd-a81ec3a4c1c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F1C950-BF9F-475A-8754-C06CF2168018}"/>
</file>

<file path=customXml/itemProps2.xml><?xml version="1.0" encoding="utf-8"?>
<ds:datastoreItem xmlns:ds="http://schemas.openxmlformats.org/officeDocument/2006/customXml" ds:itemID="{FB630813-00D6-46E1-9FB4-AAE62C7740B9}">
  <ds:schemaRefs>
    <ds:schemaRef ds:uri="http://purl.org/dc/dcmitype/"/>
    <ds:schemaRef ds:uri="http://purl.org/dc/elements/1.1/"/>
    <ds:schemaRef ds:uri="http://www.w3.org/XML/1998/namespace"/>
    <ds:schemaRef ds:uri="http://schemas.microsoft.com/office/2006/metadata/properties"/>
    <ds:schemaRef ds:uri="http://schemas.openxmlformats.org/package/2006/metadata/core-properties"/>
    <ds:schemaRef ds:uri="http://schemas.microsoft.com/office/2006/documentManagement/types"/>
    <ds:schemaRef ds:uri="http://purl.org/dc/terms/"/>
    <ds:schemaRef ds:uri="http://schemas.microsoft.com/office/infopath/2007/PartnerControls"/>
    <ds:schemaRef ds:uri="7d3c0e5c-7dcc-4e01-bd8f-7d26e19553f7"/>
    <ds:schemaRef ds:uri="3b375bbf-6cb4-48f3-8ff3-3a2dfde8fa1f"/>
  </ds:schemaRefs>
</ds:datastoreItem>
</file>

<file path=customXml/itemProps3.xml><?xml version="1.0" encoding="utf-8"?>
<ds:datastoreItem xmlns:ds="http://schemas.openxmlformats.org/officeDocument/2006/customXml" ds:itemID="{211B207A-1F73-4230-8EBB-DF3000396A9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TOD</vt:lpstr>
      <vt:lpstr>NON-TOD</vt:lpstr>
      <vt:lpstr>PF Rebate &amp; Surcharge</vt:lpstr>
      <vt:lpstr>Demand Charge</vt:lpstr>
      <vt:lpstr>LF Rebate &amp; Surcharge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SOURISH  MUKHERJEE</dc:creator>
  <cp:lastModifiedBy>Pradeep Narayana</cp:lastModifiedBy>
  <dcterms:created xsi:type="dcterms:W3CDTF">2015-06-05T18:17:20Z</dcterms:created>
  <dcterms:modified xsi:type="dcterms:W3CDTF">2025-09-20T11:22:36Z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2024-07-12T12:38:38Z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cf94827a-bc3d-4b63-8feb-432960d2d81b</vt:lpwstr>
  </property>
  <property fmtid="{D5CDD505-2E9C-101B-9397-08002B2CF9AE}" pid="7" name="MSIP_Label_defa4170-0d19-0005-0004-bc88714345d2_ActionId">
    <vt:lpwstr>9ea20630-13a7-46b4-9508-8faded802f80</vt:lpwstr>
  </property>
  <property fmtid="{D5CDD505-2E9C-101B-9397-08002B2CF9AE}" pid="8" name="MSIP_Label_defa4170-0d19-0005-0004-bc88714345d2_ContentBits">
    <vt:lpwstr>0</vt:lpwstr>
  </property>
  <property fmtid="{D5CDD505-2E9C-101B-9397-08002B2CF9AE}" pid="9" name="ContentTypeId">
    <vt:lpwstr>0x010100289DECD7A7FC114684EE8459FBE95C46</vt:lpwstr>
  </property>
</Properties>
</file>