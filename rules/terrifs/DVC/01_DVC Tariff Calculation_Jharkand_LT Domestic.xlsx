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uculusindia-my.sharepoint.com/personal/pradeep_narayana_cuculus_in/Documents/Desktop/DVC/Tariff/Jharkand LT Domestic/"/>
    </mc:Choice>
  </mc:AlternateContent>
  <xr:revisionPtr revIDLastSave="109" documentId="8_{15F6C9D0-5879-40DC-9304-61D3DC470210}" xr6:coauthVersionLast="47" xr6:coauthVersionMax="47" xr10:uidLastSave="{826C43B3-8807-46DE-8C68-644D679D88E2}"/>
  <bookViews>
    <workbookView xWindow="28680" yWindow="-120" windowWidth="29040" windowHeight="15720" xr2:uid="{D0898F0C-93A7-4719-B0FB-F5FD596946B3}"/>
  </bookViews>
  <sheets>
    <sheet name="Jharkand_LT Domestic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E17" i="5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J47" i="5"/>
  <c r="M47" i="5" s="1"/>
  <c r="K47" i="5"/>
  <c r="L4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H17" i="5"/>
  <c r="K18" i="5" l="1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17" i="5"/>
  <c r="J17" i="5"/>
  <c r="C18" i="5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H18" i="5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M40" i="5" l="1"/>
  <c r="M32" i="5"/>
  <c r="L20" i="5"/>
  <c r="L45" i="5"/>
  <c r="M28" i="5"/>
  <c r="M36" i="5"/>
  <c r="M45" i="5"/>
  <c r="L40" i="5" l="1"/>
  <c r="L36" i="5"/>
  <c r="L28" i="5"/>
  <c r="M20" i="5"/>
  <c r="L24" i="5"/>
  <c r="L32" i="5"/>
  <c r="L44" i="5"/>
  <c r="M24" i="5"/>
  <c r="M44" i="5"/>
  <c r="J52" i="5"/>
  <c r="M43" i="5"/>
  <c r="L43" i="5"/>
  <c r="M23" i="5"/>
  <c r="L23" i="5"/>
  <c r="L46" i="5"/>
  <c r="M46" i="5"/>
  <c r="M35" i="5"/>
  <c r="L35" i="5"/>
  <c r="L38" i="5"/>
  <c r="M38" i="5"/>
  <c r="M37" i="5"/>
  <c r="L37" i="5"/>
  <c r="M34" i="5"/>
  <c r="L34" i="5"/>
  <c r="M19" i="5"/>
  <c r="L19" i="5"/>
  <c r="L22" i="5"/>
  <c r="M22" i="5"/>
  <c r="M21" i="5"/>
  <c r="L21" i="5"/>
  <c r="M27" i="5"/>
  <c r="L27" i="5"/>
  <c r="M33" i="5"/>
  <c r="L33" i="5"/>
  <c r="L30" i="5"/>
  <c r="M30" i="5"/>
  <c r="M25" i="5"/>
  <c r="L25" i="5"/>
  <c r="J51" i="5"/>
  <c r="M17" i="5"/>
  <c r="L17" i="5"/>
  <c r="M39" i="5"/>
  <c r="L39" i="5"/>
  <c r="M31" i="5"/>
  <c r="L31" i="5"/>
  <c r="M42" i="5"/>
  <c r="L42" i="5"/>
  <c r="M41" i="5"/>
  <c r="L41" i="5"/>
  <c r="M29" i="5"/>
  <c r="L29" i="5"/>
  <c r="L26" i="5"/>
  <c r="M26" i="5"/>
  <c r="L18" i="5"/>
  <c r="M18" i="5"/>
  <c r="J54" i="5" l="1"/>
  <c r="J53" i="5"/>
  <c r="I19" i="5"/>
  <c r="I45" i="5" l="1"/>
  <c r="I21" i="5"/>
  <c r="I33" i="5"/>
  <c r="I39" i="5"/>
  <c r="I44" i="5"/>
  <c r="I32" i="5"/>
  <c r="I17" i="5"/>
  <c r="I20" i="5"/>
  <c r="I46" i="5"/>
  <c r="I30" i="5"/>
  <c r="I34" i="5"/>
  <c r="I18" i="5"/>
  <c r="I29" i="5"/>
  <c r="I40" i="5"/>
  <c r="I47" i="5"/>
  <c r="I22" i="5"/>
  <c r="I41" i="5"/>
  <c r="I27" i="5"/>
  <c r="I37" i="5"/>
  <c r="I38" i="5"/>
  <c r="I25" i="5"/>
  <c r="I35" i="5"/>
  <c r="I36" i="5"/>
  <c r="I43" i="5"/>
  <c r="I28" i="5"/>
  <c r="I24" i="5"/>
  <c r="I31" i="5"/>
  <c r="I26" i="5"/>
  <c r="I23" i="5"/>
  <c r="I42" i="5"/>
  <c r="J50" i="5" l="1"/>
  <c r="J55" i="5" s="1"/>
  <c r="N17" i="5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</calcChain>
</file>

<file path=xl/sharedStrings.xml><?xml version="1.0" encoding="utf-8"?>
<sst xmlns="http://schemas.openxmlformats.org/spreadsheetml/2006/main" count="42" uniqueCount="38">
  <si>
    <t>Heads</t>
  </si>
  <si>
    <t>Details</t>
  </si>
  <si>
    <t>Sanction Load</t>
  </si>
  <si>
    <t>KVA</t>
  </si>
  <si>
    <t>Fixed charges</t>
  </si>
  <si>
    <t>Fixed per connection</t>
  </si>
  <si>
    <t xml:space="preserve">Energy charges </t>
  </si>
  <si>
    <t>Rs/ kWh on unit consumption</t>
  </si>
  <si>
    <t>FPPAS ( Fuel &amp; Power Production Adjustment Surcharge)</t>
  </si>
  <si>
    <t>DVC would provide by end of every month and this would be forward calculation</t>
  </si>
  <si>
    <t>Rebate</t>
  </si>
  <si>
    <t>on Energy Charge</t>
  </si>
  <si>
    <t>ED ( Energy Duty)</t>
  </si>
  <si>
    <t>%age  flat on [(EC +FPPAS) ]</t>
  </si>
  <si>
    <t>No. of Days</t>
  </si>
  <si>
    <t>Daily charge Calculation based on realtime data</t>
  </si>
  <si>
    <t>Date</t>
  </si>
  <si>
    <t>Fixed Charges</t>
  </si>
  <si>
    <t xml:space="preserve">Energy Charge </t>
  </si>
  <si>
    <t xml:space="preserve">FPPAS  Charges  </t>
  </si>
  <si>
    <t>Energy Duty</t>
  </si>
  <si>
    <t>Opening Balance</t>
  </si>
  <si>
    <t>Formula</t>
  </si>
  <si>
    <t>=Fixed Charge/ No. of Calender Days</t>
  </si>
  <si>
    <t>=kwh x Energy Charge</t>
  </si>
  <si>
    <t>=kwh x FPPAS Charge</t>
  </si>
  <si>
    <t>=ED % x  (Energy Charge+FPPAS Charge)</t>
  </si>
  <si>
    <t>=Rebate% x Energy Charge</t>
  </si>
  <si>
    <t>Sample Daily Consumption (kWh)</t>
  </si>
  <si>
    <t>Energy Charges</t>
  </si>
  <si>
    <t>FPPS</t>
  </si>
  <si>
    <t>ED</t>
  </si>
  <si>
    <t>Gross Bill</t>
  </si>
  <si>
    <t>Daily Profile 
OBIS Code from MDM</t>
  </si>
  <si>
    <t>Cumulative_Consumption_kWh</t>
  </si>
  <si>
    <t>Month</t>
  </si>
  <si>
    <t xml:space="preserve">Sample Calculation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</si>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</sst>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#,##0.00_ ;\-#,##0.00\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top"/>
    </xf>
    <xf numFmtId="1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/>
    </xf>
    <xf numFmtId="14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43" fontId="0" fillId="0" borderId="0" xfId="1" applyFont="1"/>
    <xf numFmtId="43" fontId="1" fillId="0" borderId="0" xfId="1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4" borderId="0" xfId="0" applyFont="1" applyFill="1" applyAlignment="1">
      <alignment vertical="top" wrapText="1"/>
    </xf>
    <xf numFmtId="0" fontId="3" fillId="5" borderId="0" xfId="0" applyFont="1" applyFill="1"/>
    <xf numFmtId="43" fontId="0" fillId="0" borderId="2" xfId="1" applyFont="1" applyBorder="1"/>
    <xf numFmtId="43" fontId="0" fillId="0" borderId="0" xfId="1" applyFont="1" applyAlignment="1">
      <alignment vertical="top" wrapText="1"/>
    </xf>
    <xf numFmtId="43" fontId="1" fillId="4" borderId="0" xfId="1" applyFont="1" applyFill="1" applyAlignment="1">
      <alignment horizontal="center" vertical="center" wrapText="1"/>
    </xf>
    <xf numFmtId="2" fontId="0" fillId="6" borderId="1" xfId="0" applyNumberFormat="1" applyFill="1" applyBorder="1" applyAlignment="1">
      <alignment horizontal="center"/>
    </xf>
    <xf numFmtId="9" fontId="0" fillId="0" borderId="0" xfId="2" applyFont="1" applyAlignment="1">
      <alignment vertical="top"/>
    </xf>
    <xf numFmtId="0" fontId="1" fillId="2" borderId="1" xfId="0" applyFont="1" applyFill="1" applyBorder="1" applyAlignment="1">
      <alignment horizontal="centerContinuous" vertical="top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quotePrefix="1" applyFont="1" applyFill="1" applyBorder="1" applyAlignment="1">
      <alignment horizontal="center" vertical="center" wrapText="1"/>
    </xf>
    <xf numFmtId="43" fontId="1" fillId="4" borderId="2" xfId="1" quotePrefix="1" applyFont="1" applyFill="1" applyBorder="1" applyAlignment="1">
      <alignment horizontal="center" vertical="center" wrapText="1"/>
    </xf>
    <xf numFmtId="43" fontId="1" fillId="4" borderId="2" xfId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top"/>
    </xf>
    <xf numFmtId="9" fontId="1" fillId="6" borderId="0" xfId="2" applyFont="1" applyFill="1" applyAlignment="1">
      <alignment horizontal="center" vertical="top"/>
    </xf>
    <xf numFmtId="2" fontId="1" fillId="4" borderId="0" xfId="1" applyNumberFormat="1" applyFont="1" applyFill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43" fontId="0" fillId="0" borderId="0" xfId="1" applyFont="1" applyAlignment="1">
      <alignment horizontal="center"/>
    </xf>
    <xf numFmtId="43" fontId="0" fillId="0" borderId="2" xfId="1" applyFont="1" applyBorder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17" fontId="1" fillId="6" borderId="0" xfId="2" applyNumberFormat="1" applyFont="1" applyFill="1" applyAlignment="1">
      <alignment horizontal="center" vertical="top"/>
    </xf>
    <xf numFmtId="0" fontId="3" fillId="5" borderId="0" xfId="0" applyFont="1" applyFill="1" applyAlignment="1">
      <alignment horizontal="center"/>
    </xf>
  </cellXfs>
  <cellStyles count="4">
    <cellStyle name="Comma" xfId="1" builtinId="3"/>
    <cellStyle name="Comma 2" xfId="3" xr:uid="{9F86C863-CB92-4C3D-BAE9-9C7AF680AA5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2A2C-F45B-4C74-BCF6-5B680520C8D5}">
  <dimension ref="B2:O55"/>
  <sheetViews>
    <sheetView showGridLines="0" tabSelected="1" zoomScale="80" zoomScaleNormal="80" workbookViewId="0">
      <selection activeCell="E14" sqref="E14"/>
    </sheetView>
  </sheetViews>
  <sheetFormatPr defaultRowHeight="14.4" x14ac:dyDescent="0.3"/>
  <cols>
    <col min="1" max="1" width="9.6640625" customWidth="1"/>
    <col min="2" max="2" width="57.33203125" customWidth="1"/>
    <col min="3" max="3" width="12.33203125" customWidth="1"/>
    <col min="4" max="4" width="20.6640625" customWidth="1"/>
    <col min="5" max="5" width="17.21875" customWidth="1"/>
    <col min="6" max="6" width="11" customWidth="1"/>
    <col min="7" max="7" width="8" bestFit="1" customWidth="1"/>
    <col min="8" max="8" width="15.77734375" customWidth="1"/>
    <col min="9" max="9" width="17.21875" style="1" customWidth="1"/>
    <col min="10" max="11" width="16.44140625" customWidth="1"/>
    <col min="12" max="12" width="18.44140625" style="10" customWidth="1"/>
    <col min="13" max="13" width="20.6640625" style="10" customWidth="1"/>
    <col min="14" max="14" width="18.88671875" style="10" customWidth="1"/>
    <col min="16" max="16" width="12.109375" customWidth="1"/>
    <col min="18" max="19" width="17.88671875" customWidth="1"/>
    <col min="20" max="20" width="14.33203125" customWidth="1"/>
    <col min="21" max="21" width="18.88671875" bestFit="1" customWidth="1"/>
    <col min="22" max="22" width="17.6640625" bestFit="1" customWidth="1"/>
  </cols>
  <sheetData>
    <row r="2" spans="2:15" x14ac:dyDescent="0.3">
      <c r="B2" s="15" t="s">
        <v>36</v>
      </c>
    </row>
    <row r="3" spans="2:15" x14ac:dyDescent="0.3">
      <c r="B3" s="15" t="s">
        <v>0</v>
      </c>
      <c r="C3" s="35" t="s">
        <v>37</v>
      </c>
      <c r="D3" s="15" t="s">
        <v>1</v>
      </c>
      <c r="E3" s="15"/>
    </row>
    <row r="4" spans="2:15" x14ac:dyDescent="0.3">
      <c r="B4" s="5" t="s">
        <v>2</v>
      </c>
      <c r="C4" s="26">
        <v>5</v>
      </c>
      <c r="D4" s="5" t="s">
        <v>3</v>
      </c>
      <c r="E4" s="5"/>
    </row>
    <row r="5" spans="2:15" x14ac:dyDescent="0.3">
      <c r="B5" s="7" t="s">
        <v>4</v>
      </c>
      <c r="C5" s="27">
        <v>75</v>
      </c>
      <c r="D5" s="3" t="s">
        <v>5</v>
      </c>
      <c r="E5" s="3"/>
      <c r="O5" s="1"/>
    </row>
    <row r="6" spans="2:15" x14ac:dyDescent="0.3">
      <c r="B6" s="7" t="s">
        <v>6</v>
      </c>
      <c r="C6" s="27">
        <v>4.3</v>
      </c>
      <c r="D6" s="3" t="s">
        <v>7</v>
      </c>
      <c r="E6" s="3"/>
    </row>
    <row r="7" spans="2:15" x14ac:dyDescent="0.3">
      <c r="B7" s="14" t="s">
        <v>8</v>
      </c>
      <c r="C7" s="27">
        <v>0</v>
      </c>
      <c r="D7" s="3" t="s">
        <v>9</v>
      </c>
      <c r="E7" s="3"/>
    </row>
    <row r="8" spans="2:15" ht="15.6" customHeight="1" x14ac:dyDescent="0.3">
      <c r="B8" s="7" t="s">
        <v>10</v>
      </c>
      <c r="C8" s="28">
        <v>0.05</v>
      </c>
      <c r="D8" s="20" t="s">
        <v>11</v>
      </c>
      <c r="E8" s="20"/>
      <c r="L8" s="17"/>
      <c r="M8" s="17"/>
    </row>
    <row r="9" spans="2:15" x14ac:dyDescent="0.3">
      <c r="B9" s="7" t="s">
        <v>12</v>
      </c>
      <c r="C9" s="28">
        <v>0.06</v>
      </c>
      <c r="D9" s="20" t="s">
        <v>13</v>
      </c>
      <c r="E9" s="20"/>
    </row>
    <row r="10" spans="2:15" x14ac:dyDescent="0.3">
      <c r="B10" s="7" t="s">
        <v>35</v>
      </c>
      <c r="C10" s="34">
        <v>45870</v>
      </c>
      <c r="D10" s="20"/>
      <c r="E10" s="20"/>
    </row>
    <row r="11" spans="2:15" x14ac:dyDescent="0.3">
      <c r="B11" s="7" t="s">
        <v>14</v>
      </c>
      <c r="C11" s="27">
        <f>DAY(EOMONTH(C10,0))</f>
        <v>31</v>
      </c>
      <c r="D11" s="3"/>
      <c r="E11" s="3"/>
    </row>
    <row r="12" spans="2:15" x14ac:dyDescent="0.3">
      <c r="B12" s="2"/>
      <c r="C12" s="2"/>
    </row>
    <row r="13" spans="2:15" x14ac:dyDescent="0.3">
      <c r="H13" s="2" t="s">
        <v>15</v>
      </c>
    </row>
    <row r="14" spans="2:15" ht="42" customHeight="1" x14ac:dyDescent="0.3">
      <c r="H14" s="22" t="s">
        <v>16</v>
      </c>
      <c r="I14" s="22" t="s">
        <v>17</v>
      </c>
      <c r="J14" s="22" t="s">
        <v>18</v>
      </c>
      <c r="K14" s="22" t="s">
        <v>19</v>
      </c>
      <c r="L14" s="25" t="s">
        <v>20</v>
      </c>
      <c r="M14" s="25" t="s">
        <v>10</v>
      </c>
      <c r="N14" s="25" t="s">
        <v>21</v>
      </c>
    </row>
    <row r="15" spans="2:15" ht="42" customHeight="1" x14ac:dyDescent="0.3">
      <c r="D15" s="30" t="s">
        <v>33</v>
      </c>
      <c r="E15" s="30"/>
      <c r="G15" s="2" t="s">
        <v>22</v>
      </c>
      <c r="H15" s="22"/>
      <c r="I15" s="23" t="s">
        <v>23</v>
      </c>
      <c r="J15" s="23" t="s">
        <v>24</v>
      </c>
      <c r="K15" s="23" t="s">
        <v>25</v>
      </c>
      <c r="L15" s="24" t="s">
        <v>26</v>
      </c>
      <c r="M15" s="24" t="s">
        <v>27</v>
      </c>
      <c r="N15" s="25"/>
    </row>
    <row r="16" spans="2:15" ht="28.8" x14ac:dyDescent="0.3">
      <c r="C16" s="21" t="s">
        <v>16</v>
      </c>
      <c r="D16" s="9" t="s">
        <v>28</v>
      </c>
      <c r="E16" s="9" t="s">
        <v>34</v>
      </c>
      <c r="H16" s="6"/>
      <c r="I16" s="6"/>
      <c r="J16" s="6"/>
      <c r="K16" s="6"/>
      <c r="L16" s="18"/>
      <c r="M16" s="18"/>
      <c r="N16" s="29">
        <v>0</v>
      </c>
    </row>
    <row r="17" spans="3:14" x14ac:dyDescent="0.3">
      <c r="C17" s="8">
        <v>45870</v>
      </c>
      <c r="D17" s="19">
        <v>44.99</v>
      </c>
      <c r="E17" s="19">
        <f>D17</f>
        <v>44.99</v>
      </c>
      <c r="H17" s="4">
        <f>C17</f>
        <v>45870</v>
      </c>
      <c r="I17" s="33">
        <f>ROUNDUP($C$5/$C$11,4)</f>
        <v>2.4194</v>
      </c>
      <c r="J17" s="33">
        <f t="shared" ref="J17:J46" si="0">ROUNDUP(D17*$C$6,4)</f>
        <v>193.45699999999999</v>
      </c>
      <c r="K17" s="33">
        <f t="shared" ref="K17:K46" si="1">ROUNDUP($C$7*D17,4)</f>
        <v>0</v>
      </c>
      <c r="L17" s="33">
        <f t="shared" ref="L17:L46" si="2">ROUNDUP($C$9*(J17+K17),4)</f>
        <v>11.6075</v>
      </c>
      <c r="M17" s="33">
        <f t="shared" ref="M17:M46" si="3">ROUNDUP(-J17*$C$8,4)</f>
        <v>-9.6729000000000003</v>
      </c>
      <c r="N17" s="10">
        <f>ROUNDUP(N16-(I17+J17+K17+L17+M17),4)</f>
        <v>-197.81100000000001</v>
      </c>
    </row>
    <row r="18" spans="3:14" x14ac:dyDescent="0.3">
      <c r="C18" s="8">
        <f>C17+1</f>
        <v>45871</v>
      </c>
      <c r="D18" s="19">
        <v>58.82</v>
      </c>
      <c r="E18" s="19">
        <f>E17+D18</f>
        <v>103.81</v>
      </c>
      <c r="H18" s="4">
        <f t="shared" ref="H18:H47" si="4">H17+1</f>
        <v>45871</v>
      </c>
      <c r="I18" s="33">
        <f>ROUNDUP($C$5/$C$11,4)</f>
        <v>2.4194</v>
      </c>
      <c r="J18" s="33">
        <f t="shared" si="0"/>
        <v>252.92599999999999</v>
      </c>
      <c r="K18" s="33">
        <f t="shared" si="1"/>
        <v>0</v>
      </c>
      <c r="L18" s="33">
        <f t="shared" si="2"/>
        <v>15.175599999999999</v>
      </c>
      <c r="M18" s="33">
        <f t="shared" si="3"/>
        <v>-12.6463</v>
      </c>
      <c r="N18" s="10">
        <f t="shared" ref="N18:N46" si="5">ROUNDUP(N17-(I18+J18+K18+L18+M18),4)</f>
        <v>-455.6857</v>
      </c>
    </row>
    <row r="19" spans="3:14" x14ac:dyDescent="0.3">
      <c r="C19" s="8">
        <f t="shared" ref="C19:C47" si="6">C18+1</f>
        <v>45872</v>
      </c>
      <c r="D19" s="19">
        <v>53.57</v>
      </c>
      <c r="E19" s="19">
        <f t="shared" ref="E19:E47" si="7">E18+D19</f>
        <v>157.38</v>
      </c>
      <c r="H19" s="4">
        <f t="shared" si="4"/>
        <v>45872</v>
      </c>
      <c r="I19" s="33">
        <f>ROUNDUP($C$5/$C$11,4)</f>
        <v>2.4194</v>
      </c>
      <c r="J19" s="33">
        <f t="shared" si="0"/>
        <v>230.351</v>
      </c>
      <c r="K19" s="33">
        <f t="shared" si="1"/>
        <v>0</v>
      </c>
      <c r="L19" s="33">
        <f t="shared" si="2"/>
        <v>13.821099999999999</v>
      </c>
      <c r="M19" s="33">
        <f t="shared" si="3"/>
        <v>-11.5176</v>
      </c>
      <c r="N19" s="10">
        <f t="shared" si="5"/>
        <v>-690.75959999999998</v>
      </c>
    </row>
    <row r="20" spans="3:14" x14ac:dyDescent="0.3">
      <c r="C20" s="8">
        <f t="shared" si="6"/>
        <v>45873</v>
      </c>
      <c r="D20" s="19">
        <v>50.37</v>
      </c>
      <c r="E20" s="19">
        <f t="shared" si="7"/>
        <v>207.75</v>
      </c>
      <c r="H20" s="4">
        <f t="shared" si="4"/>
        <v>45873</v>
      </c>
      <c r="I20" s="33">
        <f>ROUNDUP($C$5/$C$11,4)</f>
        <v>2.4194</v>
      </c>
      <c r="J20" s="33">
        <f t="shared" si="0"/>
        <v>216.59100000000001</v>
      </c>
      <c r="K20" s="33">
        <f t="shared" si="1"/>
        <v>0</v>
      </c>
      <c r="L20" s="33">
        <f t="shared" si="2"/>
        <v>12.9955</v>
      </c>
      <c r="M20" s="33">
        <f t="shared" si="3"/>
        <v>-10.829599999999999</v>
      </c>
      <c r="N20" s="10">
        <f t="shared" si="5"/>
        <v>-911.93589999999995</v>
      </c>
    </row>
    <row r="21" spans="3:14" x14ac:dyDescent="0.3">
      <c r="C21" s="8">
        <f t="shared" si="6"/>
        <v>45874</v>
      </c>
      <c r="D21" s="19">
        <v>39.74</v>
      </c>
      <c r="E21" s="19">
        <f t="shared" si="7"/>
        <v>247.49</v>
      </c>
      <c r="H21" s="4">
        <f t="shared" si="4"/>
        <v>45874</v>
      </c>
      <c r="I21" s="33">
        <f>ROUNDUP($C$5/$C$11,4)</f>
        <v>2.4194</v>
      </c>
      <c r="J21" s="33">
        <f t="shared" si="0"/>
        <v>170.88200000000001</v>
      </c>
      <c r="K21" s="33">
        <f t="shared" si="1"/>
        <v>0</v>
      </c>
      <c r="L21" s="33">
        <f t="shared" si="2"/>
        <v>10.253</v>
      </c>
      <c r="M21" s="33">
        <f t="shared" si="3"/>
        <v>-8.5441000000000003</v>
      </c>
      <c r="N21" s="10">
        <f t="shared" si="5"/>
        <v>-1086.9462000000001</v>
      </c>
    </row>
    <row r="22" spans="3:14" x14ac:dyDescent="0.3">
      <c r="C22" s="8">
        <f t="shared" si="6"/>
        <v>45875</v>
      </c>
      <c r="D22" s="19">
        <v>39.74</v>
      </c>
      <c r="E22" s="19">
        <f t="shared" si="7"/>
        <v>287.23</v>
      </c>
      <c r="H22" s="4">
        <f t="shared" si="4"/>
        <v>45875</v>
      </c>
      <c r="I22" s="33">
        <f>ROUNDUP($C$5/$C$11,4)</f>
        <v>2.4194</v>
      </c>
      <c r="J22" s="33">
        <f t="shared" si="0"/>
        <v>170.88200000000001</v>
      </c>
      <c r="K22" s="33">
        <f t="shared" si="1"/>
        <v>0</v>
      </c>
      <c r="L22" s="33">
        <f t="shared" si="2"/>
        <v>10.253</v>
      </c>
      <c r="M22" s="33">
        <f t="shared" si="3"/>
        <v>-8.5441000000000003</v>
      </c>
      <c r="N22" s="10">
        <f t="shared" si="5"/>
        <v>-1261.9565</v>
      </c>
    </row>
    <row r="23" spans="3:14" x14ac:dyDescent="0.3">
      <c r="C23" s="8">
        <f t="shared" si="6"/>
        <v>45876</v>
      </c>
      <c r="D23" s="19">
        <v>37.39</v>
      </c>
      <c r="E23" s="19">
        <f t="shared" si="7"/>
        <v>324.62</v>
      </c>
      <c r="H23" s="4">
        <f t="shared" si="4"/>
        <v>45876</v>
      </c>
      <c r="I23" s="33">
        <f>ROUNDUP($C$5/$C$11,4)</f>
        <v>2.4194</v>
      </c>
      <c r="J23" s="33">
        <f t="shared" si="0"/>
        <v>160.77699999999999</v>
      </c>
      <c r="K23" s="33">
        <f t="shared" si="1"/>
        <v>0</v>
      </c>
      <c r="L23" s="33">
        <f t="shared" si="2"/>
        <v>9.6466999999999992</v>
      </c>
      <c r="M23" s="33">
        <f t="shared" si="3"/>
        <v>-8.0388999999999999</v>
      </c>
      <c r="N23" s="10">
        <f t="shared" si="5"/>
        <v>-1426.7607</v>
      </c>
    </row>
    <row r="24" spans="3:14" x14ac:dyDescent="0.3">
      <c r="C24" s="8">
        <f t="shared" si="6"/>
        <v>45877</v>
      </c>
      <c r="D24" s="19">
        <v>56.79</v>
      </c>
      <c r="E24" s="19">
        <f t="shared" si="7"/>
        <v>381.41</v>
      </c>
      <c r="H24" s="4">
        <f t="shared" si="4"/>
        <v>45877</v>
      </c>
      <c r="I24" s="33">
        <f>ROUNDUP($C$5/$C$11,4)</f>
        <v>2.4194</v>
      </c>
      <c r="J24" s="33">
        <f t="shared" si="0"/>
        <v>244.197</v>
      </c>
      <c r="K24" s="33">
        <f t="shared" si="1"/>
        <v>0</v>
      </c>
      <c r="L24" s="33">
        <f t="shared" si="2"/>
        <v>14.651899999999999</v>
      </c>
      <c r="M24" s="33">
        <f t="shared" si="3"/>
        <v>-12.209899999999999</v>
      </c>
      <c r="N24" s="10">
        <f t="shared" si="5"/>
        <v>-1675.8190999999999</v>
      </c>
    </row>
    <row r="25" spans="3:14" x14ac:dyDescent="0.3">
      <c r="C25" s="8">
        <f t="shared" si="6"/>
        <v>45878</v>
      </c>
      <c r="D25" s="19">
        <v>50.43</v>
      </c>
      <c r="E25" s="19">
        <f t="shared" si="7"/>
        <v>431.84000000000003</v>
      </c>
      <c r="H25" s="4">
        <f t="shared" si="4"/>
        <v>45878</v>
      </c>
      <c r="I25" s="33">
        <f>ROUNDUP($C$5/$C$11,4)</f>
        <v>2.4194</v>
      </c>
      <c r="J25" s="33">
        <f t="shared" si="0"/>
        <v>216.84899999999999</v>
      </c>
      <c r="K25" s="33">
        <f t="shared" si="1"/>
        <v>0</v>
      </c>
      <c r="L25" s="33">
        <f t="shared" si="2"/>
        <v>13.010999999999999</v>
      </c>
      <c r="M25" s="33">
        <f t="shared" si="3"/>
        <v>-10.842499999999999</v>
      </c>
      <c r="N25" s="10">
        <f t="shared" si="5"/>
        <v>-1897.2560000000001</v>
      </c>
    </row>
    <row r="26" spans="3:14" x14ac:dyDescent="0.3">
      <c r="C26" s="8">
        <f t="shared" si="6"/>
        <v>45879</v>
      </c>
      <c r="D26" s="19">
        <v>52.99</v>
      </c>
      <c r="E26" s="19">
        <f t="shared" si="7"/>
        <v>484.83000000000004</v>
      </c>
      <c r="H26" s="4">
        <f t="shared" si="4"/>
        <v>45879</v>
      </c>
      <c r="I26" s="33">
        <f>ROUNDUP($C$5/$C$11,4)</f>
        <v>2.4194</v>
      </c>
      <c r="J26" s="33">
        <f t="shared" si="0"/>
        <v>227.857</v>
      </c>
      <c r="K26" s="33">
        <f t="shared" si="1"/>
        <v>0</v>
      </c>
      <c r="L26" s="33">
        <f t="shared" si="2"/>
        <v>13.6715</v>
      </c>
      <c r="M26" s="33">
        <f t="shared" si="3"/>
        <v>-11.392899999999999</v>
      </c>
      <c r="N26" s="10">
        <f t="shared" si="5"/>
        <v>-2129.8110000000001</v>
      </c>
    </row>
    <row r="27" spans="3:14" x14ac:dyDescent="0.3">
      <c r="C27" s="8">
        <f t="shared" si="6"/>
        <v>45880</v>
      </c>
      <c r="D27" s="19">
        <v>36.49</v>
      </c>
      <c r="E27" s="19">
        <f t="shared" si="7"/>
        <v>521.32000000000005</v>
      </c>
      <c r="H27" s="4">
        <f t="shared" si="4"/>
        <v>45880</v>
      </c>
      <c r="I27" s="33">
        <f>ROUNDUP($C$5/$C$11,4)</f>
        <v>2.4194</v>
      </c>
      <c r="J27" s="33">
        <f t="shared" si="0"/>
        <v>156.90700000000001</v>
      </c>
      <c r="K27" s="33">
        <f t="shared" si="1"/>
        <v>0</v>
      </c>
      <c r="L27" s="33">
        <f t="shared" si="2"/>
        <v>9.4145000000000003</v>
      </c>
      <c r="M27" s="33">
        <f t="shared" si="3"/>
        <v>-7.8453999999999997</v>
      </c>
      <c r="N27" s="10">
        <f t="shared" si="5"/>
        <v>-2290.7064999999998</v>
      </c>
    </row>
    <row r="28" spans="3:14" x14ac:dyDescent="0.3">
      <c r="C28" s="8">
        <f t="shared" si="6"/>
        <v>45881</v>
      </c>
      <c r="D28" s="19">
        <v>59.28</v>
      </c>
      <c r="E28" s="19">
        <f t="shared" si="7"/>
        <v>580.6</v>
      </c>
      <c r="H28" s="4">
        <f t="shared" si="4"/>
        <v>45881</v>
      </c>
      <c r="I28" s="33">
        <f>ROUNDUP($C$5/$C$11,4)</f>
        <v>2.4194</v>
      </c>
      <c r="J28" s="33">
        <f t="shared" si="0"/>
        <v>254.904</v>
      </c>
      <c r="K28" s="33">
        <f t="shared" si="1"/>
        <v>0</v>
      </c>
      <c r="L28" s="33">
        <f t="shared" si="2"/>
        <v>15.2943</v>
      </c>
      <c r="M28" s="33">
        <f t="shared" si="3"/>
        <v>-12.745200000000001</v>
      </c>
      <c r="N28" s="10">
        <f t="shared" si="5"/>
        <v>-2550.5790000000002</v>
      </c>
    </row>
    <row r="29" spans="3:14" x14ac:dyDescent="0.3">
      <c r="C29" s="8">
        <f t="shared" si="6"/>
        <v>45882</v>
      </c>
      <c r="D29" s="19">
        <v>55.98</v>
      </c>
      <c r="E29" s="19">
        <f t="shared" si="7"/>
        <v>636.58000000000004</v>
      </c>
      <c r="H29" s="4">
        <f t="shared" si="4"/>
        <v>45882</v>
      </c>
      <c r="I29" s="33">
        <f>ROUNDUP($C$5/$C$11,4)</f>
        <v>2.4194</v>
      </c>
      <c r="J29" s="33">
        <f t="shared" si="0"/>
        <v>240.714</v>
      </c>
      <c r="K29" s="33">
        <f t="shared" si="1"/>
        <v>0</v>
      </c>
      <c r="L29" s="33">
        <f t="shared" si="2"/>
        <v>14.4429</v>
      </c>
      <c r="M29" s="33">
        <f t="shared" si="3"/>
        <v>-12.0357</v>
      </c>
      <c r="N29" s="10">
        <f t="shared" si="5"/>
        <v>-2796.1196</v>
      </c>
    </row>
    <row r="30" spans="3:14" x14ac:dyDescent="0.3">
      <c r="C30" s="8">
        <f t="shared" si="6"/>
        <v>45883</v>
      </c>
      <c r="D30" s="19">
        <v>41.1</v>
      </c>
      <c r="E30" s="19">
        <f t="shared" si="7"/>
        <v>677.68000000000006</v>
      </c>
      <c r="H30" s="4">
        <f t="shared" si="4"/>
        <v>45883</v>
      </c>
      <c r="I30" s="33">
        <f>ROUNDUP($C$5/$C$11,4)</f>
        <v>2.4194</v>
      </c>
      <c r="J30" s="33">
        <f t="shared" si="0"/>
        <v>176.73</v>
      </c>
      <c r="K30" s="33">
        <f t="shared" si="1"/>
        <v>0</v>
      </c>
      <c r="L30" s="33">
        <f t="shared" si="2"/>
        <v>10.6038</v>
      </c>
      <c r="M30" s="33">
        <f t="shared" si="3"/>
        <v>-8.8364999999999991</v>
      </c>
      <c r="N30" s="10">
        <f t="shared" si="5"/>
        <v>-2977.0363000000002</v>
      </c>
    </row>
    <row r="31" spans="3:14" x14ac:dyDescent="0.3">
      <c r="C31" s="8">
        <f t="shared" si="6"/>
        <v>45884</v>
      </c>
      <c r="D31" s="19">
        <v>40.36</v>
      </c>
      <c r="E31" s="19">
        <f t="shared" si="7"/>
        <v>718.04000000000008</v>
      </c>
      <c r="H31" s="4">
        <f t="shared" si="4"/>
        <v>45884</v>
      </c>
      <c r="I31" s="33">
        <f>ROUNDUP($C$5/$C$11,4)</f>
        <v>2.4194</v>
      </c>
      <c r="J31" s="33">
        <f t="shared" si="0"/>
        <v>173.548</v>
      </c>
      <c r="K31" s="33">
        <f t="shared" si="1"/>
        <v>0</v>
      </c>
      <c r="L31" s="33">
        <f t="shared" si="2"/>
        <v>10.4129</v>
      </c>
      <c r="M31" s="33">
        <f t="shared" si="3"/>
        <v>-8.6774000000000004</v>
      </c>
      <c r="N31" s="10">
        <f t="shared" si="5"/>
        <v>-3154.7392</v>
      </c>
    </row>
    <row r="32" spans="3:14" x14ac:dyDescent="0.3">
      <c r="C32" s="8">
        <f t="shared" si="6"/>
        <v>45885</v>
      </c>
      <c r="D32" s="19">
        <v>40.4</v>
      </c>
      <c r="E32" s="19">
        <f t="shared" si="7"/>
        <v>758.44</v>
      </c>
      <c r="H32" s="4">
        <f t="shared" si="4"/>
        <v>45885</v>
      </c>
      <c r="I32" s="33">
        <f>ROUNDUP($C$5/$C$11,4)</f>
        <v>2.4194</v>
      </c>
      <c r="J32" s="33">
        <f t="shared" si="0"/>
        <v>173.72</v>
      </c>
      <c r="K32" s="33">
        <f t="shared" si="1"/>
        <v>0</v>
      </c>
      <c r="L32" s="33">
        <f t="shared" si="2"/>
        <v>10.4232</v>
      </c>
      <c r="M32" s="33">
        <f t="shared" si="3"/>
        <v>-8.6859999999999999</v>
      </c>
      <c r="N32" s="10">
        <f t="shared" si="5"/>
        <v>-3332.6158</v>
      </c>
    </row>
    <row r="33" spans="3:14" x14ac:dyDescent="0.3">
      <c r="C33" s="8">
        <f t="shared" si="6"/>
        <v>45886</v>
      </c>
      <c r="D33" s="19">
        <v>43.3</v>
      </c>
      <c r="E33" s="19">
        <f t="shared" si="7"/>
        <v>801.74</v>
      </c>
      <c r="H33" s="4">
        <f t="shared" si="4"/>
        <v>45886</v>
      </c>
      <c r="I33" s="33">
        <f>ROUNDUP($C$5/$C$11,4)</f>
        <v>2.4194</v>
      </c>
      <c r="J33" s="33">
        <f t="shared" si="0"/>
        <v>186.19</v>
      </c>
      <c r="K33" s="33">
        <f t="shared" si="1"/>
        <v>0</v>
      </c>
      <c r="L33" s="33">
        <f t="shared" si="2"/>
        <v>11.1714</v>
      </c>
      <c r="M33" s="33">
        <f t="shared" si="3"/>
        <v>-9.3094999999999999</v>
      </c>
      <c r="N33" s="10">
        <f t="shared" si="5"/>
        <v>-3523.0871000000002</v>
      </c>
    </row>
    <row r="34" spans="3:14" x14ac:dyDescent="0.3">
      <c r="C34" s="8">
        <f t="shared" si="6"/>
        <v>45887</v>
      </c>
      <c r="D34" s="19">
        <v>48.59</v>
      </c>
      <c r="E34" s="19">
        <f t="shared" si="7"/>
        <v>850.33</v>
      </c>
      <c r="H34" s="4">
        <f t="shared" si="4"/>
        <v>45887</v>
      </c>
      <c r="I34" s="33">
        <f>ROUNDUP($C$5/$C$11,4)</f>
        <v>2.4194</v>
      </c>
      <c r="J34" s="33">
        <f t="shared" si="0"/>
        <v>208.93700000000001</v>
      </c>
      <c r="K34" s="33">
        <f t="shared" si="1"/>
        <v>0</v>
      </c>
      <c r="L34" s="33">
        <f t="shared" si="2"/>
        <v>12.536299999999999</v>
      </c>
      <c r="M34" s="33">
        <f t="shared" si="3"/>
        <v>-10.446899999999999</v>
      </c>
      <c r="N34" s="10">
        <f t="shared" si="5"/>
        <v>-3736.5329000000002</v>
      </c>
    </row>
    <row r="35" spans="3:14" x14ac:dyDescent="0.3">
      <c r="C35" s="8">
        <f t="shared" si="6"/>
        <v>45888</v>
      </c>
      <c r="D35" s="19">
        <v>46.37</v>
      </c>
      <c r="E35" s="19">
        <f t="shared" si="7"/>
        <v>896.7</v>
      </c>
      <c r="H35" s="4">
        <f t="shared" si="4"/>
        <v>45888</v>
      </c>
      <c r="I35" s="33">
        <f>ROUNDUP($C$5/$C$11,4)</f>
        <v>2.4194</v>
      </c>
      <c r="J35" s="33">
        <f t="shared" si="0"/>
        <v>199.39099999999999</v>
      </c>
      <c r="K35" s="33">
        <f t="shared" si="1"/>
        <v>0</v>
      </c>
      <c r="L35" s="33">
        <f t="shared" si="2"/>
        <v>11.9635</v>
      </c>
      <c r="M35" s="33">
        <f t="shared" si="3"/>
        <v>-9.9695999999999998</v>
      </c>
      <c r="N35" s="10">
        <f t="shared" si="5"/>
        <v>-3940.3371999999999</v>
      </c>
    </row>
    <row r="36" spans="3:14" x14ac:dyDescent="0.3">
      <c r="C36" s="8">
        <f t="shared" si="6"/>
        <v>45889</v>
      </c>
      <c r="D36" s="19">
        <v>42.99</v>
      </c>
      <c r="E36" s="19">
        <f t="shared" si="7"/>
        <v>939.69</v>
      </c>
      <c r="H36" s="4">
        <f t="shared" si="4"/>
        <v>45889</v>
      </c>
      <c r="I36" s="33">
        <f>ROUNDUP($C$5/$C$11,4)</f>
        <v>2.4194</v>
      </c>
      <c r="J36" s="33">
        <f t="shared" si="0"/>
        <v>184.857</v>
      </c>
      <c r="K36" s="33">
        <f t="shared" si="1"/>
        <v>0</v>
      </c>
      <c r="L36" s="33">
        <f t="shared" si="2"/>
        <v>11.0915</v>
      </c>
      <c r="M36" s="33">
        <f t="shared" si="3"/>
        <v>-9.2429000000000006</v>
      </c>
      <c r="N36" s="10">
        <f t="shared" si="5"/>
        <v>-4129.4621999999999</v>
      </c>
    </row>
    <row r="37" spans="3:14" x14ac:dyDescent="0.3">
      <c r="C37" s="8">
        <f t="shared" si="6"/>
        <v>45890</v>
      </c>
      <c r="D37" s="19">
        <v>50.68</v>
      </c>
      <c r="E37" s="19">
        <f t="shared" si="7"/>
        <v>990.37</v>
      </c>
      <c r="H37" s="4">
        <f t="shared" si="4"/>
        <v>45890</v>
      </c>
      <c r="I37" s="33">
        <f>ROUNDUP($C$5/$C$11,4)</f>
        <v>2.4194</v>
      </c>
      <c r="J37" s="33">
        <f t="shared" si="0"/>
        <v>217.92400000000001</v>
      </c>
      <c r="K37" s="33">
        <f t="shared" si="1"/>
        <v>0</v>
      </c>
      <c r="L37" s="33">
        <f t="shared" si="2"/>
        <v>13.0755</v>
      </c>
      <c r="M37" s="33">
        <f t="shared" si="3"/>
        <v>-10.8962</v>
      </c>
      <c r="N37" s="10">
        <f t="shared" si="5"/>
        <v>-4351.9849000000004</v>
      </c>
    </row>
    <row r="38" spans="3:14" x14ac:dyDescent="0.3">
      <c r="C38" s="8">
        <f t="shared" si="6"/>
        <v>45891</v>
      </c>
      <c r="D38" s="19">
        <v>39.35</v>
      </c>
      <c r="E38" s="19">
        <f t="shared" si="7"/>
        <v>1029.72</v>
      </c>
      <c r="H38" s="4">
        <f t="shared" si="4"/>
        <v>45891</v>
      </c>
      <c r="I38" s="33">
        <f>ROUNDUP($C$5/$C$11,4)</f>
        <v>2.4194</v>
      </c>
      <c r="J38" s="33">
        <f t="shared" si="0"/>
        <v>169.20500000000001</v>
      </c>
      <c r="K38" s="33">
        <f t="shared" si="1"/>
        <v>0</v>
      </c>
      <c r="L38" s="33">
        <f t="shared" si="2"/>
        <v>10.1523</v>
      </c>
      <c r="M38" s="33">
        <f t="shared" si="3"/>
        <v>-8.4603000000000002</v>
      </c>
      <c r="N38" s="10">
        <f t="shared" si="5"/>
        <v>-4525.3013000000001</v>
      </c>
    </row>
    <row r="39" spans="3:14" x14ac:dyDescent="0.3">
      <c r="C39" s="8">
        <f t="shared" si="6"/>
        <v>45892</v>
      </c>
      <c r="D39" s="19">
        <v>43.01</v>
      </c>
      <c r="E39" s="19">
        <f t="shared" si="7"/>
        <v>1072.73</v>
      </c>
      <c r="H39" s="4">
        <f t="shared" si="4"/>
        <v>45892</v>
      </c>
      <c r="I39" s="33">
        <f>ROUNDUP($C$5/$C$11,4)</f>
        <v>2.4194</v>
      </c>
      <c r="J39" s="33">
        <f t="shared" si="0"/>
        <v>184.94300000000001</v>
      </c>
      <c r="K39" s="33">
        <f t="shared" si="1"/>
        <v>0</v>
      </c>
      <c r="L39" s="33">
        <f t="shared" si="2"/>
        <v>11.0966</v>
      </c>
      <c r="M39" s="33">
        <f t="shared" si="3"/>
        <v>-9.2471999999999994</v>
      </c>
      <c r="N39" s="10">
        <f t="shared" si="5"/>
        <v>-4714.5131000000001</v>
      </c>
    </row>
    <row r="40" spans="3:14" x14ac:dyDescent="0.3">
      <c r="C40" s="8">
        <f t="shared" si="6"/>
        <v>45893</v>
      </c>
      <c r="D40" s="19">
        <v>44.79</v>
      </c>
      <c r="E40" s="19">
        <f t="shared" si="7"/>
        <v>1117.52</v>
      </c>
      <c r="H40" s="4">
        <f t="shared" si="4"/>
        <v>45893</v>
      </c>
      <c r="I40" s="33">
        <f>ROUNDUP($C$5/$C$11,4)</f>
        <v>2.4194</v>
      </c>
      <c r="J40" s="33">
        <f t="shared" si="0"/>
        <v>192.59700000000001</v>
      </c>
      <c r="K40" s="33">
        <f t="shared" si="1"/>
        <v>0</v>
      </c>
      <c r="L40" s="33">
        <f t="shared" si="2"/>
        <v>11.555899999999999</v>
      </c>
      <c r="M40" s="33">
        <f t="shared" si="3"/>
        <v>-9.6298999999999992</v>
      </c>
      <c r="N40" s="10">
        <f t="shared" si="5"/>
        <v>-4911.4555</v>
      </c>
    </row>
    <row r="41" spans="3:14" x14ac:dyDescent="0.3">
      <c r="C41" s="8">
        <f t="shared" si="6"/>
        <v>45894</v>
      </c>
      <c r="D41" s="19">
        <v>46.95</v>
      </c>
      <c r="E41" s="19">
        <f t="shared" si="7"/>
        <v>1164.47</v>
      </c>
      <c r="H41" s="4">
        <f t="shared" si="4"/>
        <v>45894</v>
      </c>
      <c r="I41" s="33">
        <f>ROUNDUP($C$5/$C$11,4)</f>
        <v>2.4194</v>
      </c>
      <c r="J41" s="33">
        <f t="shared" si="0"/>
        <v>201.88499999999999</v>
      </c>
      <c r="K41" s="33">
        <f t="shared" si="1"/>
        <v>0</v>
      </c>
      <c r="L41" s="33">
        <f t="shared" si="2"/>
        <v>12.113099999999999</v>
      </c>
      <c r="M41" s="33">
        <f t="shared" si="3"/>
        <v>-10.0943</v>
      </c>
      <c r="N41" s="10">
        <f t="shared" si="5"/>
        <v>-5117.7786999999998</v>
      </c>
    </row>
    <row r="42" spans="3:14" x14ac:dyDescent="0.3">
      <c r="C42" s="8">
        <f t="shared" si="6"/>
        <v>45895</v>
      </c>
      <c r="D42" s="19">
        <v>54.84</v>
      </c>
      <c r="E42" s="19">
        <f t="shared" si="7"/>
        <v>1219.31</v>
      </c>
      <c r="H42" s="4">
        <f t="shared" si="4"/>
        <v>45895</v>
      </c>
      <c r="I42" s="33">
        <f>ROUNDUP($C$5/$C$11,4)</f>
        <v>2.4194</v>
      </c>
      <c r="J42" s="33">
        <f t="shared" si="0"/>
        <v>235.81200000000001</v>
      </c>
      <c r="K42" s="33">
        <f t="shared" si="1"/>
        <v>0</v>
      </c>
      <c r="L42" s="33">
        <f t="shared" si="2"/>
        <v>14.1488</v>
      </c>
      <c r="M42" s="33">
        <f t="shared" si="3"/>
        <v>-11.7906</v>
      </c>
      <c r="N42" s="10">
        <f t="shared" si="5"/>
        <v>-5358.3683000000001</v>
      </c>
    </row>
    <row r="43" spans="3:14" x14ac:dyDescent="0.3">
      <c r="C43" s="8">
        <f t="shared" si="6"/>
        <v>45896</v>
      </c>
      <c r="D43" s="19">
        <v>40.79</v>
      </c>
      <c r="E43" s="19">
        <f t="shared" si="7"/>
        <v>1260.0999999999999</v>
      </c>
      <c r="H43" s="4">
        <f t="shared" si="4"/>
        <v>45896</v>
      </c>
      <c r="I43" s="33">
        <f>ROUNDUP($C$5/$C$11,4)</f>
        <v>2.4194</v>
      </c>
      <c r="J43" s="33">
        <f t="shared" si="0"/>
        <v>175.39699999999999</v>
      </c>
      <c r="K43" s="33">
        <f t="shared" si="1"/>
        <v>0</v>
      </c>
      <c r="L43" s="33">
        <f t="shared" si="2"/>
        <v>10.523899999999999</v>
      </c>
      <c r="M43" s="33">
        <f t="shared" si="3"/>
        <v>-8.7698999999999998</v>
      </c>
      <c r="N43" s="10">
        <f t="shared" si="5"/>
        <v>-5537.9386999999997</v>
      </c>
    </row>
    <row r="44" spans="3:14" x14ac:dyDescent="0.3">
      <c r="C44" s="8">
        <f t="shared" si="6"/>
        <v>45897</v>
      </c>
      <c r="D44" s="19">
        <v>48.34</v>
      </c>
      <c r="E44" s="19">
        <f t="shared" si="7"/>
        <v>1308.4399999999998</v>
      </c>
      <c r="H44" s="4">
        <f t="shared" si="4"/>
        <v>45897</v>
      </c>
      <c r="I44" s="33">
        <f>ROUNDUP($C$5/$C$11,4)</f>
        <v>2.4194</v>
      </c>
      <c r="J44" s="33">
        <f t="shared" si="0"/>
        <v>207.86199999999999</v>
      </c>
      <c r="K44" s="33">
        <f t="shared" si="1"/>
        <v>0</v>
      </c>
      <c r="L44" s="33">
        <f t="shared" si="2"/>
        <v>12.4718</v>
      </c>
      <c r="M44" s="33">
        <f t="shared" si="3"/>
        <v>-10.3931</v>
      </c>
      <c r="N44" s="10">
        <f t="shared" si="5"/>
        <v>-5750.2987999999996</v>
      </c>
    </row>
    <row r="45" spans="3:14" x14ac:dyDescent="0.3">
      <c r="C45" s="8">
        <f t="shared" si="6"/>
        <v>45898</v>
      </c>
      <c r="D45" s="19">
        <v>50.22</v>
      </c>
      <c r="E45" s="19">
        <f t="shared" si="7"/>
        <v>1358.6599999999999</v>
      </c>
      <c r="H45" s="4">
        <f t="shared" si="4"/>
        <v>45898</v>
      </c>
      <c r="I45" s="33">
        <f>ROUNDUP($C$5/$C$11,4)</f>
        <v>2.4194</v>
      </c>
      <c r="J45" s="33">
        <f t="shared" si="0"/>
        <v>215.946</v>
      </c>
      <c r="K45" s="33">
        <f t="shared" si="1"/>
        <v>0</v>
      </c>
      <c r="L45" s="33">
        <f t="shared" si="2"/>
        <v>12.956799999999999</v>
      </c>
      <c r="M45" s="33">
        <f t="shared" si="3"/>
        <v>-10.7973</v>
      </c>
      <c r="N45" s="10">
        <f t="shared" si="5"/>
        <v>-5970.8236999999999</v>
      </c>
    </row>
    <row r="46" spans="3:14" x14ac:dyDescent="0.3">
      <c r="C46" s="8">
        <f t="shared" si="6"/>
        <v>45899</v>
      </c>
      <c r="D46" s="19">
        <v>37.11</v>
      </c>
      <c r="E46" s="19">
        <f t="shared" si="7"/>
        <v>1395.7699999999998</v>
      </c>
      <c r="H46" s="4">
        <f t="shared" si="4"/>
        <v>45899</v>
      </c>
      <c r="I46" s="33">
        <f>ROUNDUP($C$5/$C$11,4)</f>
        <v>2.4194</v>
      </c>
      <c r="J46" s="33">
        <f t="shared" si="0"/>
        <v>159.57300000000001</v>
      </c>
      <c r="K46" s="33">
        <f t="shared" si="1"/>
        <v>0</v>
      </c>
      <c r="L46" s="33">
        <f t="shared" si="2"/>
        <v>9.5743999999999989</v>
      </c>
      <c r="M46" s="33">
        <f t="shared" si="3"/>
        <v>-7.9786999999999999</v>
      </c>
      <c r="N46" s="10">
        <f t="shared" si="5"/>
        <v>-6134.4117999999999</v>
      </c>
    </row>
    <row r="47" spans="3:14" x14ac:dyDescent="0.3">
      <c r="C47" s="8">
        <f t="shared" si="6"/>
        <v>45900</v>
      </c>
      <c r="D47" s="19">
        <v>50.58</v>
      </c>
      <c r="E47" s="19">
        <f t="shared" si="7"/>
        <v>1446.3499999999997</v>
      </c>
      <c r="H47" s="4">
        <f t="shared" si="4"/>
        <v>45900</v>
      </c>
      <c r="I47" s="33">
        <f>ROUNDUP($C$5/$C$11,4)</f>
        <v>2.4194</v>
      </c>
      <c r="J47" s="33">
        <f t="shared" ref="J47" si="8">ROUNDUP(D47*$C$6,4)</f>
        <v>217.494</v>
      </c>
      <c r="K47" s="33">
        <f t="shared" ref="K47" si="9">ROUNDUP($C$7*D47,4)</f>
        <v>0</v>
      </c>
      <c r="L47" s="33">
        <f t="shared" ref="L47" si="10">ROUNDUP($C$9*(J47+K47),4)</f>
        <v>13.0497</v>
      </c>
      <c r="M47" s="33">
        <f t="shared" ref="M47" si="11">ROUNDUP(-J47*$C$8,4)</f>
        <v>-10.874700000000001</v>
      </c>
      <c r="N47" s="10">
        <f t="shared" ref="N47" si="12">ROUNDUP(N46-(I47+J47+K47+L47+M47),4)</f>
        <v>-6356.5002000000004</v>
      </c>
    </row>
    <row r="48" spans="3:14" x14ac:dyDescent="0.3">
      <c r="H48" s="4"/>
      <c r="I48" s="31"/>
      <c r="J48" s="10"/>
      <c r="K48" s="10"/>
    </row>
    <row r="49" spans="8:11" x14ac:dyDescent="0.3">
      <c r="I49" s="31"/>
      <c r="J49" s="10"/>
      <c r="K49" s="10"/>
    </row>
    <row r="50" spans="8:11" x14ac:dyDescent="0.3">
      <c r="H50" s="12" t="s">
        <v>17</v>
      </c>
      <c r="I50" s="31"/>
      <c r="J50" s="10">
        <f>SUM(I17:I48)</f>
        <v>75.001400000000018</v>
      </c>
      <c r="K50" s="10"/>
    </row>
    <row r="51" spans="8:11" x14ac:dyDescent="0.3">
      <c r="H51" s="12" t="s">
        <v>29</v>
      </c>
      <c r="I51" s="31"/>
      <c r="J51" s="10">
        <f>SUM(J17:J48)</f>
        <v>6219.3050000000003</v>
      </c>
      <c r="K51" s="10"/>
    </row>
    <row r="52" spans="8:11" x14ac:dyDescent="0.3">
      <c r="H52" s="12" t="s">
        <v>30</v>
      </c>
      <c r="I52" s="31"/>
      <c r="J52" s="10">
        <f>SUM(K17:K48)</f>
        <v>0</v>
      </c>
      <c r="K52" s="10"/>
    </row>
    <row r="53" spans="8:11" x14ac:dyDescent="0.3">
      <c r="H53" s="12" t="s">
        <v>31</v>
      </c>
      <c r="I53" s="31"/>
      <c r="J53" s="10">
        <f>SUM(L17:L48)</f>
        <v>373.15990000000005</v>
      </c>
      <c r="K53" s="10"/>
    </row>
    <row r="54" spans="8:11" x14ac:dyDescent="0.3">
      <c r="H54" s="13" t="s">
        <v>10</v>
      </c>
      <c r="I54" s="32"/>
      <c r="J54" s="16">
        <f>SUM(M17:M48)</f>
        <v>-310.96609999999998</v>
      </c>
      <c r="K54" s="10"/>
    </row>
    <row r="55" spans="8:11" x14ac:dyDescent="0.3">
      <c r="H55" s="12" t="s">
        <v>32</v>
      </c>
      <c r="I55" s="31"/>
      <c r="J55" s="11">
        <f>SUM(J50:J54)</f>
        <v>6356.5002000000004</v>
      </c>
      <c r="K55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82821-aae6-4082-a5ba-ea6cec871eae">
      <Terms xmlns="http://schemas.microsoft.com/office/infopath/2007/PartnerControls"/>
    </lcf76f155ced4ddcb4097134ff3c332f>
    <TaxCatchAll xmlns="8ae689fd-2d0a-4368-81dd-a81ec3a4c1c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DECD7A7FC114684EE8459FBE95C46" ma:contentTypeVersion="11" ma:contentTypeDescription="Create a new document." ma:contentTypeScope="" ma:versionID="776c1a9b8017fb1e73b668c459c6f790">
  <xsd:schema xmlns:xsd="http://www.w3.org/2001/XMLSchema" xmlns:xs="http://www.w3.org/2001/XMLSchema" xmlns:p="http://schemas.microsoft.com/office/2006/metadata/properties" xmlns:ns2="f7782821-aae6-4082-a5ba-ea6cec871eae" xmlns:ns3="8ae689fd-2d0a-4368-81dd-a81ec3a4c1cb" targetNamespace="http://schemas.microsoft.com/office/2006/metadata/properties" ma:root="true" ma:fieldsID="4a13cc5e89aea9ba1bceef8789766c0a" ns2:_="" ns3:_="">
    <xsd:import namespace="f7782821-aae6-4082-a5ba-ea6cec871eae"/>
    <xsd:import namespace="8ae689fd-2d0a-4368-81dd-a81ec3a4c1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82821-aae6-4082-a5ba-ea6cec87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41db77-5a46-4ec8-9a67-3b6920aaaa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689fd-2d0a-4368-81dd-a81ec3a4c1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b29526-4ec3-4ba7-bac6-f0b9b5f4f976}" ma:internalName="TaxCatchAll" ma:showField="CatchAllData" ma:web="8ae689fd-2d0a-4368-81dd-a81ec3a4c1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11C695-8CE7-427D-806E-55BDFBC79DD1}">
  <ds:schemaRefs>
    <ds:schemaRef ds:uri="http://schemas.microsoft.com/office/2006/metadata/properties"/>
    <ds:schemaRef ds:uri="http://schemas.microsoft.com/office/infopath/2007/PartnerControls"/>
    <ds:schemaRef ds:uri="f7782821-aae6-4082-a5ba-ea6cec871eae"/>
    <ds:schemaRef ds:uri="8ae689fd-2d0a-4368-81dd-a81ec3a4c1cb"/>
  </ds:schemaRefs>
</ds:datastoreItem>
</file>

<file path=customXml/itemProps2.xml><?xml version="1.0" encoding="utf-8"?>
<ds:datastoreItem xmlns:ds="http://schemas.openxmlformats.org/officeDocument/2006/customXml" ds:itemID="{77F1F460-83D5-45E4-8E8C-199FE3E6E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782821-aae6-4082-a5ba-ea6cec871eae"/>
    <ds:schemaRef ds:uri="8ae689fd-2d0a-4368-81dd-a81ec3a4c1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5BDEBB-EC5F-4272-9192-54C1651D37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Jharkand_LT Domestic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Gakhar</dc:creator>
  <cp:keywords/>
  <dc:description/>
  <cp:lastModifiedBy>Pradeep Narayana</cp:lastModifiedBy>
  <cp:revision/>
  <dcterms:created xsi:type="dcterms:W3CDTF">2025-05-26T11:57:17Z</dcterms:created>
  <dcterms:modified xsi:type="dcterms:W3CDTF">2025-08-24T01:58:18Z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2025-05-27T12:27:29Z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cf94827a-bc3d-4b63-8feb-432960d2d81b</vt:lpwstr>
  </property>
  <property fmtid="{D5CDD505-2E9C-101B-9397-08002B2CF9AE}" pid="7" name="MSIP_Label_defa4170-0d19-0005-0004-bc88714345d2_ActionId">
    <vt:lpwstr>9c0b308f-cae6-409e-84ee-0a4eb7384134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0x010100289DECD7A7FC114684EE8459FBE95C46</vt:lpwstr>
  </property>
  <property fmtid="{D5CDD505-2E9C-101B-9397-08002B2CF9AE}" pid="11" name="MediaServiceImageTags">
    <vt:lpwstr/>
  </property>
</Properties>
</file>